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hidePivotFieldList="1" refreshAllConnections="1" defaultThemeVersion="124226"/>
  <bookViews>
    <workbookView xWindow="0" yWindow="0" windowWidth="13335" windowHeight="5940"/>
  </bookViews>
  <sheets>
    <sheet name="Pivot" sheetId="7" r:id="rId1"/>
    <sheet name="by invoice" sheetId="4" r:id="rId2"/>
    <sheet name="Data" sheetId="1" r:id="rId3"/>
    <sheet name="BP vs name" sheetId="8" r:id="rId4"/>
    <sheet name="HELP" sheetId="9" r:id="rId5"/>
    <sheet name="Credimundi" sheetId="11" r:id="rId6"/>
    <sheet name="Atradius " sheetId="15" r:id="rId7"/>
  </sheets>
  <externalReferences>
    <externalReference r:id="rId8"/>
  </externalReferences>
  <definedNames>
    <definedName name="_xlnm._FilterDatabase" localSheetId="6" hidden="1">'Atradius '!$A$1:$K$87</definedName>
    <definedName name="_xlnm._FilterDatabase" localSheetId="3" hidden="1">'BP vs name'!$A$1:$D$771</definedName>
    <definedName name="_xlnm._FilterDatabase" localSheetId="1" hidden="1">'by invoice'!$A$1:$J$2</definedName>
    <definedName name="_xlnm._FilterDatabase" localSheetId="2" hidden="1">Data!$A$1:$AF$2</definedName>
    <definedName name="DATA1">Data!$A$2:$A$2</definedName>
    <definedName name="DATA10">Data!$J$2:$J$2</definedName>
    <definedName name="DATA11">Data!$K$2:$K$2</definedName>
    <definedName name="DATA12">Data!$L$2:$L$2</definedName>
    <definedName name="DATA13">Data!$M$2:$M$2</definedName>
    <definedName name="DATA14">Data!$N$2:$N$2</definedName>
    <definedName name="DATA15">Data!$O$2:$O$2</definedName>
    <definedName name="DATA16" localSheetId="6">[1]Data!#REF!</definedName>
    <definedName name="DATA16">Data!$P$2:$P$2</definedName>
    <definedName name="DATA17" localSheetId="6">[1]Data!#REF!</definedName>
    <definedName name="DATA17">Data!$Q$2:$Q$2</definedName>
    <definedName name="DATA2">Data!$B$2:$B$2</definedName>
    <definedName name="DATA3">Data!$C$2:$C$2</definedName>
    <definedName name="DATA4">Data!$D$2:$D$2</definedName>
    <definedName name="DATA5">Data!$E$2:$E$2</definedName>
    <definedName name="DATA6">Data!$F$2:$F$2</definedName>
    <definedName name="DATA7">Data!$G$2:$G$2</definedName>
    <definedName name="DATA8">Data!$H$2:$H$2</definedName>
    <definedName name="DATA9">Data!$I$2:$I$2</definedName>
    <definedName name="TEST1">Data!$A$2:$Q$2</definedName>
    <definedName name="TEST2">Data!#REF!</definedName>
    <definedName name="TESTHKEY">Data!$K$1:$Q$1</definedName>
    <definedName name="TESTKEYS">Data!$A$2:$J$2</definedName>
    <definedName name="TESTVKEY">Data!$A$1:$J$1</definedName>
  </definedNames>
  <calcPr calcId="171027"/>
  <pivotCaches>
    <pivotCache cacheId="67" r:id="rId9"/>
  </pivotCaches>
</workbook>
</file>

<file path=xl/calcChain.xml><?xml version="1.0" encoding="utf-8"?>
<calcChain xmlns="http://schemas.openxmlformats.org/spreadsheetml/2006/main">
  <c r="T31" i="11" l="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AF2" i="1" l="1"/>
  <c r="AA2" i="1" l="1"/>
  <c r="AD2" i="1"/>
  <c r="AE2" i="1" l="1"/>
  <c r="Z2" i="1" l="1"/>
  <c r="B2" i="4" s="1"/>
  <c r="J2" i="4" l="1"/>
  <c r="A2" i="4"/>
  <c r="D2" i="4"/>
  <c r="E2" i="4"/>
  <c r="F2" i="4"/>
  <c r="G2" i="4"/>
  <c r="H2" i="4"/>
  <c r="AC2" i="1"/>
  <c r="I2" i="4" s="1"/>
  <c r="Y2" i="1"/>
  <c r="AB2" i="1"/>
</calcChain>
</file>

<file path=xl/sharedStrings.xml><?xml version="1.0" encoding="utf-8"?>
<sst xmlns="http://schemas.openxmlformats.org/spreadsheetml/2006/main" count="3484" uniqueCount="1594">
  <si>
    <t>Doc. Date</t>
  </si>
  <si>
    <t>Net due dt</t>
  </si>
  <si>
    <t>Amt in loc.cur.</t>
  </si>
  <si>
    <t>LCurr</t>
  </si>
  <si>
    <t>Amt loc.curr.2</t>
  </si>
  <si>
    <t>LCur2</t>
  </si>
  <si>
    <t>Arrear</t>
  </si>
  <si>
    <t>Stat</t>
  </si>
  <si>
    <t>Account</t>
  </si>
  <si>
    <t>Type</t>
  </si>
  <si>
    <t>DocumentNo</t>
  </si>
  <si>
    <t>Assignment</t>
  </si>
  <si>
    <t>SG</t>
  </si>
  <si>
    <t>DD</t>
  </si>
  <si>
    <t>Text</t>
  </si>
  <si>
    <t>PayT</t>
  </si>
  <si>
    <t>CoCd</t>
  </si>
  <si>
    <t>Customer Name</t>
  </si>
  <si>
    <t>Country</t>
  </si>
  <si>
    <t>Intercompany Y/N</t>
  </si>
  <si>
    <t>Sum of Amt in loc.cur.</t>
  </si>
  <si>
    <t>Ageing Bucket</t>
  </si>
  <si>
    <t>Grand Total</t>
  </si>
  <si>
    <t>Current</t>
  </si>
  <si>
    <t>USD</t>
  </si>
  <si>
    <t>CC</t>
  </si>
  <si>
    <t>Customer name</t>
  </si>
  <si>
    <t>invoice #</t>
  </si>
  <si>
    <t>doc date</t>
  </si>
  <si>
    <t>due date</t>
  </si>
  <si>
    <t>amount</t>
  </si>
  <si>
    <t>currency</t>
  </si>
  <si>
    <t>arrear</t>
  </si>
  <si>
    <t>text</t>
  </si>
  <si>
    <t>Countries</t>
  </si>
  <si>
    <t>Bucket</t>
  </si>
  <si>
    <t>Dunning</t>
  </si>
  <si>
    <t>IC6121</t>
  </si>
  <si>
    <t>AbbVie Logistics BV</t>
  </si>
  <si>
    <t>P6201</t>
  </si>
  <si>
    <t>P6202</t>
  </si>
  <si>
    <t>ABBOTT LOGISTICS B.V</t>
  </si>
  <si>
    <t>GO TO FBL5N</t>
  </si>
  <si>
    <t>copy paste all data into tab "DATA"</t>
  </si>
  <si>
    <t>copy paste document number (column D "DATA") into tab "by invoice" - column C</t>
  </si>
  <si>
    <t>go to pivot tab, and clock "refresh data"</t>
  </si>
  <si>
    <t>CASH APP SUSPENSE</t>
  </si>
  <si>
    <t>CL</t>
  </si>
  <si>
    <t>choose layout DORMOS</t>
  </si>
  <si>
    <t>AbbVie AS</t>
  </si>
  <si>
    <t>P6207</t>
  </si>
  <si>
    <t>P6301</t>
  </si>
  <si>
    <t>OPEN ITEMS for all customers in cc with the last date of the previous month</t>
  </si>
  <si>
    <t>SUNSHINE HEALTHCARE LANKA LTD</t>
  </si>
  <si>
    <t>CONSIGNED TO HSBC COLOMBO</t>
  </si>
  <si>
    <t>ABBOTT LABORATORIES S.A.</t>
  </si>
  <si>
    <t>UPS EUROPE SPRL BVBA</t>
  </si>
  <si>
    <t>AESICA QUEENBOROUGH LTD</t>
  </si>
  <si>
    <t>BAXTER HEALTHCARE S.A.</t>
  </si>
  <si>
    <t>UNICEF GOMA</t>
  </si>
  <si>
    <t>SENLS</t>
  </si>
  <si>
    <t>SAMES</t>
  </si>
  <si>
    <t>NEW ALLIANCE COMERCIO INT LDA</t>
  </si>
  <si>
    <t>ELNOR INTERNATIONAL HOLDING</t>
  </si>
  <si>
    <t>CATALENT PHARMA SOLUTIONS LLC</t>
  </si>
  <si>
    <t>FRESENIUS KABI DEUTSCHLAND GMBH</t>
  </si>
  <si>
    <t>FRESENIUS KABI NORGE AS</t>
  </si>
  <si>
    <t>GSK GLAXOSMITHKLINE EXP LTD</t>
  </si>
  <si>
    <t>HOSPIRA SPA</t>
  </si>
  <si>
    <t>OWEN MUMFORD LTD</t>
  </si>
  <si>
    <t>KENYA MEDICAL SUPPL AUTHORITY</t>
  </si>
  <si>
    <t>CREDIT POPULAIRE DALGERIE</t>
  </si>
  <si>
    <t>PHARMACIE POPULAIRE DU MALI</t>
  </si>
  <si>
    <t>NATIONAL HIV AIDS SECRETARIAT</t>
  </si>
  <si>
    <t>NATIONAL CENTER FOR DISEASE CONTROL</t>
  </si>
  <si>
    <t>MOH AND SOCIAL WELFARE</t>
  </si>
  <si>
    <t>MINISTRY OF HEALTH</t>
  </si>
  <si>
    <t>MINISTERE DE LA SANTE</t>
  </si>
  <si>
    <t>MEDSERVICE PLUS KPHC</t>
  </si>
  <si>
    <t>EMIRRATES NBD NOHZA BRANCH</t>
  </si>
  <si>
    <t>CHIEF COORDINATOR (AIDS AND TB)</t>
  </si>
  <si>
    <t>CENTRAL MEDICAL STORES DEPOT</t>
  </si>
  <si>
    <t>AMDIPHARM LTD</t>
  </si>
  <si>
    <t>ABBVIE</t>
  </si>
  <si>
    <t>ABBOTT JAPAN CO LTD</t>
  </si>
  <si>
    <t>INTERSPED SARAJEVO</t>
  </si>
  <si>
    <t>AK NIET</t>
  </si>
  <si>
    <t>STANDARD CHARTERED BANK</t>
  </si>
  <si>
    <t>CHIEF COORDINATOR</t>
  </si>
  <si>
    <t>US AID KAMPALA</t>
  </si>
  <si>
    <t>ALL-UKRAINIAN NETWORK OF</t>
  </si>
  <si>
    <t>MOH SOCIAL WELFARE</t>
  </si>
  <si>
    <t>ABBOTT LOGISTICS BREDA</t>
  </si>
  <si>
    <t>ABBOTT LOGISTICS CEVA</t>
  </si>
  <si>
    <t>DR. BASEER KHAN ACHAKZAI</t>
  </si>
  <si>
    <t>AL MUFID TRADING CO. LLC</t>
  </si>
  <si>
    <t>MEDI-LINK LTD</t>
  </si>
  <si>
    <t>MINISTRY OF HEALTH OF AZERBAIJAN</t>
  </si>
  <si>
    <t>MEDICAL INTERTRADE D.O.O.</t>
  </si>
  <si>
    <t>AL-MUFID FOR PHARMACEUTICALS</t>
  </si>
  <si>
    <t>CERB</t>
  </si>
  <si>
    <t>GIZ AFGHANISTAN</t>
  </si>
  <si>
    <t>COMITE DE GESTION  DES</t>
  </si>
  <si>
    <t>BANQUE NATIONALE D'ALGERIE</t>
  </si>
  <si>
    <t>ABBVIE BIOPHARMECEUTICALS GMBH</t>
  </si>
  <si>
    <t>LIMEDIKA</t>
  </si>
  <si>
    <t>MEDIKONA UAB</t>
  </si>
  <si>
    <t>UAB TAMRO</t>
  </si>
  <si>
    <t>JW PHARMACEUTICAL CORPORATION</t>
  </si>
  <si>
    <t>MEGAPHARM SH.P.K.</t>
  </si>
  <si>
    <t>MINISTERE DE LA DEFENSE</t>
  </si>
  <si>
    <t>HOPITAL MILITAIRE REGIONAL</t>
  </si>
  <si>
    <t>5ºREGION MILITAIRE</t>
  </si>
  <si>
    <t>HÔPITAL MILITAIRE</t>
  </si>
  <si>
    <t>PHARMACIE CENTRALE DES HOPITAUX</t>
  </si>
  <si>
    <t>EPIC PHARMACIE CENTRALE DES</t>
  </si>
  <si>
    <t>A L'ADRESSE DE LA BANQUE</t>
  </si>
  <si>
    <t>SANDOZ SPA ALGERIE</t>
  </si>
  <si>
    <t>PRESTSAUDE LIMITADA</t>
  </si>
  <si>
    <t>BANCO DE POUPANCA E CREDITO</t>
  </si>
  <si>
    <t>SOCIFARMA</t>
  </si>
  <si>
    <t>PHARM TRUST LTD</t>
  </si>
  <si>
    <t>MEDICOSMETICS</t>
  </si>
  <si>
    <t>NASSAU AGENCIES 1995 LTD.</t>
  </si>
  <si>
    <t>UNIMED LIMITED</t>
  </si>
  <si>
    <t>CONSIGNED TO</t>
  </si>
  <si>
    <t>PHARMACY SALES(CARIBBEAN) LTD</t>
  </si>
  <si>
    <t>BAU-UNION LLC</t>
  </si>
  <si>
    <t>PHARMAMEDICALGROUP</t>
  </si>
  <si>
    <t>BERMUDA GENERAL AGENCY</t>
  </si>
  <si>
    <t>KING EDWARD MEMORIAL HOSPITAL</t>
  </si>
  <si>
    <t>THE BERMUDA HOSPITAL BOARD -</t>
  </si>
  <si>
    <t>BAYER BOLIVIANA NIT:1015527021</t>
  </si>
  <si>
    <t>HERCEGOVINALIJEK D.O.O.</t>
  </si>
  <si>
    <t>DTS SPED D.O.O., SARAJEVO</t>
  </si>
  <si>
    <t>CENTRAL MEDICAL STORES</t>
  </si>
  <si>
    <t>DELTA PHARMACEUTICALS PTY LTD</t>
  </si>
  <si>
    <t>DELTA PHARMACEUTICALS (PTY)LTD</t>
  </si>
  <si>
    <t>MEDSWANA (PTY) LTD</t>
  </si>
  <si>
    <t>UNC PROJECT</t>
  </si>
  <si>
    <t>ALL-UKRAINIAN NETWORK OF PEOPL</t>
  </si>
  <si>
    <t>BADM LTD</t>
  </si>
  <si>
    <t>MEHTA PHARMACEUTICALS</t>
  </si>
  <si>
    <t>CAMEG</t>
  </si>
  <si>
    <t>PROGRESSIVE DISTRIBUTORS LTD.</t>
  </si>
  <si>
    <t>BEIJING KEYUAN XINHAI PHARMA</t>
  </si>
  <si>
    <t>CHINA MEHECO CO. LTD</t>
  </si>
  <si>
    <t>CHINA PRIMARY HEALTH CARE</t>
  </si>
  <si>
    <t>SINOPHARM GROUP DISTRIBUTION</t>
  </si>
  <si>
    <t>CHINA RESOURCES GUANGDONG</t>
  </si>
  <si>
    <t>GUANGZHOU PHARMACEUTICALS</t>
  </si>
  <si>
    <t>CAJA CR. DEL SEGURO SOCIAL</t>
  </si>
  <si>
    <t>CEFA CENTRAL FARMACEUTICA S.A.</t>
  </si>
  <si>
    <t>MEDIKA DD ZAGREB</t>
  </si>
  <si>
    <t>OKTAL PHARMA D.O.O.</t>
  </si>
  <si>
    <t>PHOENIX FARMACIJA</t>
  </si>
  <si>
    <t>PLIVA CROATIA LTD TAPI CROATIA</t>
  </si>
  <si>
    <t>CURACAO PHARMACAL COMPANY N.V.</t>
  </si>
  <si>
    <t>LIFEPHARMA (ZAM) LTD</t>
  </si>
  <si>
    <t>ABBOTT EGYPT</t>
  </si>
  <si>
    <t>EGYPTIAN PHARMACEUTICAL + FOOD</t>
  </si>
  <si>
    <t>BNP PARISBAS BANK-NOHZA BRANCH</t>
  </si>
  <si>
    <t>EL GOUMHOURIA CO. FOR TRADING</t>
  </si>
  <si>
    <t>MULTIPHARMA FOR PHARMACEUTICALS</t>
  </si>
  <si>
    <t>THE EGYPTIAN PHARMACEUTICAL</t>
  </si>
  <si>
    <t>UNITED COMPANY OF TRADING AND</t>
  </si>
  <si>
    <t>C.IMBERTON, S.A. DE C.V.</t>
  </si>
  <si>
    <t>DROGUERIA SANTA LUCIA</t>
  </si>
  <si>
    <t>DROGUERIA SANTA LUCIA S.A.</t>
  </si>
  <si>
    <t>INS SALVADORENO DEL SEGURO SOC</t>
  </si>
  <si>
    <t>INSTITUTO SALVADOREÑO DEL</t>
  </si>
  <si>
    <t>MINISTERIO DE SALUD</t>
  </si>
  <si>
    <t>PROJECT MANAGEMENT UNIT</t>
  </si>
  <si>
    <t>MAGNUM MEDICAL LLC</t>
  </si>
  <si>
    <t>MEDITSIINIGRUPP</t>
  </si>
  <si>
    <t>TAMRO EESTI OU</t>
  </si>
  <si>
    <t>B O PHARM</t>
  </si>
  <si>
    <t>CEVA LOUDEAC</t>
  </si>
  <si>
    <t>CEVA SANTE ANIMALE</t>
  </si>
  <si>
    <t>CEVA SA C/O SCHENKER MERIGNAC</t>
  </si>
  <si>
    <t>CEVA SA C/O GEODIS CALBERSON</t>
  </si>
  <si>
    <t>CHEMINEAU LABORATORIES -</t>
  </si>
  <si>
    <t>LABORATOIRES CHEMINEAU</t>
  </si>
  <si>
    <t>GALDERMA LABORATORIES</t>
  </si>
  <si>
    <t>LABORATOIRES GALDERMA S.A.</t>
  </si>
  <si>
    <t>LABORATOIRES BAILLEUL-BIORGA</t>
  </si>
  <si>
    <t>MSF LOGISTIQUE FRANCE</t>
  </si>
  <si>
    <t>MEDICINS SANS FRONTIERES</t>
  </si>
  <si>
    <t>MSF LOGISTIQUE</t>
  </si>
  <si>
    <t>PIERRE FABRE MEDICAMENT</t>
  </si>
  <si>
    <t>SANOFI CHIMIE</t>
  </si>
  <si>
    <t>COMPLEX-MED-SERVICE LTD</t>
  </si>
  <si>
    <t>JSC GPC</t>
  </si>
  <si>
    <t>PSP-PHARMA</t>
  </si>
  <si>
    <t>MIDAS PHARMA GMBH</t>
  </si>
  <si>
    <t>ALMIRALL HERMAL GMBH</t>
  </si>
  <si>
    <t>MIBE GMBH ARZNEIMITTEL</t>
  </si>
  <si>
    <t>SOLVADIS CHEMAG GMBH</t>
  </si>
  <si>
    <t>TCS HAMBURG-TRANSCHEM SERVICES</t>
  </si>
  <si>
    <t>BRITISH PHARMACEUTICAL</t>
  </si>
  <si>
    <t>DROGUERIA PROCONSUMO,S.A.DE CV</t>
  </si>
  <si>
    <t>DROGUERIA HASTHER S. DE R.L.</t>
  </si>
  <si>
    <t>SUPER FARMACIA SIMAN</t>
  </si>
  <si>
    <t>SUPER FARMACIA SIMAN (GVT)</t>
  </si>
  <si>
    <t>UNIVERSAL PHARMACEUTICAL</t>
  </si>
  <si>
    <t>GNC AGRITECH SDN BHD  C/O</t>
  </si>
  <si>
    <t>UPS C/O STOCKPHARMA S.A.</t>
  </si>
  <si>
    <t>UPSL C/O DHL GLOBAL FORWARDING</t>
  </si>
  <si>
    <t>MERIAL (THAILAND) LIMITED C/O</t>
  </si>
  <si>
    <t>ANUH PHARMA LTD.,</t>
  </si>
  <si>
    <t>ANUH PHARMA LTD.</t>
  </si>
  <si>
    <t>IND-SWIFT LABORATORIES LTD</t>
  </si>
  <si>
    <t>IND-SWIFT LIMITED</t>
  </si>
  <si>
    <t>RANBAXY LABORATORIES LTD</t>
  </si>
  <si>
    <t>SHIP TO: RANBAXY LAB. LTD.</t>
  </si>
  <si>
    <t>SHIP TO:RANBAXY LAB. LTD.</t>
  </si>
  <si>
    <t>S.KANT HEALTHCARE LTD</t>
  </si>
  <si>
    <t>M/S S. KANT C/O</t>
  </si>
  <si>
    <t>AMDIPHARM LIMITED</t>
  </si>
  <si>
    <t>AMDIPHARM LTD. C/O</t>
  </si>
  <si>
    <t>AMDIPHARM LT C/O</t>
  </si>
  <si>
    <t>PERRIGO ISRAEL AGENCIES LTD</t>
  </si>
  <si>
    <t>CAMBREX PROFARMACO MILANO SRL</t>
  </si>
  <si>
    <t>LAMPUGNANI FARMACEUTICI SPA</t>
  </si>
  <si>
    <t>LABORATORIO FARMACEUTICO SIT</t>
  </si>
  <si>
    <t>TEOFARMA S.R.L.</t>
  </si>
  <si>
    <t>VETOQUINOL ITALIA S.R.L.</t>
  </si>
  <si>
    <t>CARI-MED LIMITED</t>
  </si>
  <si>
    <t>NATIONAL HEALTH FUND</t>
  </si>
  <si>
    <t>UNIVERSITY HOSPITAL</t>
  </si>
  <si>
    <t>MARUISHI PHARMACEUTICAL LTD</t>
  </si>
  <si>
    <t>SANOFI AVENTIS K.K.</t>
  </si>
  <si>
    <t>SANOFI-AVENTIS K.K.</t>
  </si>
  <si>
    <t>TAKEDA PHARMACEUTICAL COMPANY</t>
  </si>
  <si>
    <t>NIPPON EXPRESS NEDERLAND BV</t>
  </si>
  <si>
    <t>ABU SHEIKHA DRUG STORE</t>
  </si>
  <si>
    <t>G.H.Q. JORDAN ARMED FORCES</t>
  </si>
  <si>
    <t>HUSAM NIMER DRUG STORE</t>
  </si>
  <si>
    <t>ARMILA</t>
  </si>
  <si>
    <t>MUNIR SUKHTIAN GROUP CO. LTD.</t>
  </si>
  <si>
    <t>THE ARAB PESTICIDES AND</t>
  </si>
  <si>
    <t>TO THE ORDER OF</t>
  </si>
  <si>
    <t>TO THE ORDER OF ISLAMIC</t>
  </si>
  <si>
    <t>MEDSERVICE PLUS, KPHC</t>
  </si>
  <si>
    <t>RAIFARM</t>
  </si>
  <si>
    <t>VIVA PHARM</t>
  </si>
  <si>
    <t>PHILLIPS PHARMACEUTICALS LTD</t>
  </si>
  <si>
    <t>CHEMONICS (PHARMA) LLC</t>
  </si>
  <si>
    <t>CHEMONICS (PHARMA) LLC,</t>
  </si>
  <si>
    <t>PHILLIPS PHARMACEUTICAL LTD</t>
  </si>
  <si>
    <t>WAEL PHARMACY CO. WLL</t>
  </si>
  <si>
    <t>AL MOJIL DRUG COMPANY</t>
  </si>
  <si>
    <t>YIACO MEDICAL CO. K.S.C.C.</t>
  </si>
  <si>
    <t>ELPIS SIA</t>
  </si>
  <si>
    <t>JELGAVFARM SIA</t>
  </si>
  <si>
    <t>MEDELENS + SIA</t>
  </si>
  <si>
    <t>MEDELENS SIA "MONO LOGISTIK"</t>
  </si>
  <si>
    <t>RECIPE PLUS</t>
  </si>
  <si>
    <t>TAMRO SIA</t>
  </si>
  <si>
    <t>SPEDIAR</t>
  </si>
  <si>
    <t>INTERPHARMA S.A.L. (IPH)</t>
  </si>
  <si>
    <t>MEDICAL SUPPLY ORGANIZATION</t>
  </si>
  <si>
    <t>THE MEDICAL SUPPLY</t>
  </si>
  <si>
    <t>SIRAN PHARMACEUTICALS</t>
  </si>
  <si>
    <t>V.J.SALOMONE PHARMA LTD.</t>
  </si>
  <si>
    <t>IRELAND BLYTH LTD (HEALTHCARE)</t>
  </si>
  <si>
    <t>IRELAND BLYTH LIMITED</t>
  </si>
  <si>
    <t>IM DITA ESTFARM SRL</t>
  </si>
  <si>
    <t>ISEPS-FARMA SRL</t>
  </si>
  <si>
    <t>PUB. INS. CIMU HEALTH SYSTEM</t>
  </si>
  <si>
    <t>GLOSARIJ D.O.O</t>
  </si>
  <si>
    <t>LABORATOIRES MAPHAR S.A.</t>
  </si>
  <si>
    <t>GEKA PHARMA (PTY) LTD.</t>
  </si>
  <si>
    <t>NAMPHARM (PTY) LTD</t>
  </si>
  <si>
    <t>NEW MEDICAL HOLDINGS (PTY) LTD</t>
  </si>
  <si>
    <t>NEW MEDICAL INVESTMENT HOLDING</t>
  </si>
  <si>
    <t>ERONGOMED</t>
  </si>
  <si>
    <t>MEDICOSMETICS- ST MAARTEN N.V.</t>
  </si>
  <si>
    <t>MEDICOSMETICS- ST MAARTEN</t>
  </si>
  <si>
    <t>CIPS-MINSA</t>
  </si>
  <si>
    <t>DICEGSA</t>
  </si>
  <si>
    <t>DICEGSA (GVT)</t>
  </si>
  <si>
    <t>REPRICO, S.A.</t>
  </si>
  <si>
    <t>REPRICO, S.A. (GVT)</t>
  </si>
  <si>
    <t>INDEX S.A.C.I.</t>
  </si>
  <si>
    <t>AHMED KHALIL AL BAKER SONS</t>
  </si>
  <si>
    <t>HAMAD MEDICAL CORPORATION</t>
  </si>
  <si>
    <t>HAMAD GENERAL HOSPITAL</t>
  </si>
  <si>
    <t>EUROPHARM HOLDING SA</t>
  </si>
  <si>
    <t>FARMEXIM SA</t>
  </si>
  <si>
    <t>FARMEXPERT DCI SRL</t>
  </si>
  <si>
    <t>FILDAS TRADING SRL</t>
  </si>
  <si>
    <t>MEDIPLUS EXIM SRL</t>
  </si>
  <si>
    <t>POLISANO S.R.L.</t>
  </si>
  <si>
    <t>CENTRALE D'ACHETS DES</t>
  </si>
  <si>
    <t>FAROUK MAAMOUN TAMER COMPANY</t>
  </si>
  <si>
    <t>KING FAISAL SPECIALIST</t>
  </si>
  <si>
    <t>FAROUK, MAAMOUN TAMER CO.</t>
  </si>
  <si>
    <t>AL KAMAL IMPORT OFFICE CO LTD</t>
  </si>
  <si>
    <t>AL KAMAL IMPORT OFFICE CO. LTD</t>
  </si>
  <si>
    <t>AL KAMAL IMPORT OFFICE CO.LTD.</t>
  </si>
  <si>
    <t>AL KAMAL IMPORT OFFICE CO.,LTD</t>
  </si>
  <si>
    <t>AL KAMAL IMPORT OFFICE COMPANY</t>
  </si>
  <si>
    <t>PHARMACIE NATIONALE D APPROV.</t>
  </si>
  <si>
    <t>PHOENIX PHARMA D.O.O.</t>
  </si>
  <si>
    <t>ZUELLIG PHARMA PTE LTD.</t>
  </si>
  <si>
    <t>NATIONAL PHYTOPHARMA</t>
  </si>
  <si>
    <t>FARMADENT D.O.O.</t>
  </si>
  <si>
    <t>INSTITUTE OF PUBLIC HEALTH</t>
  </si>
  <si>
    <t>KEMOFARMACIJA D.D.</t>
  </si>
  <si>
    <t>FARMA TREJD D.O.O.</t>
  </si>
  <si>
    <t>PHOENIX PHARMA DOOEL</t>
  </si>
  <si>
    <t>CHEMICALS MARKETING CO LTD</t>
  </si>
  <si>
    <t>SALUS VELETRGOVINA D.O.O.</t>
  </si>
  <si>
    <t>ACCESS TO CARE</t>
  </si>
  <si>
    <t>SWISS BIOGENICS LIMITED</t>
  </si>
  <si>
    <t>IBN SINA PHARMACY LLC.</t>
  </si>
  <si>
    <t>LABORATOIRES BAILLEUL INT SA</t>
  </si>
  <si>
    <t>OPODEX</t>
  </si>
  <si>
    <t>PALMA GROUP SA</t>
  </si>
  <si>
    <t>PRIVATE JOINT-STOCK COMPANY</t>
  </si>
  <si>
    <t>GENERAL FOREIGN TRADE</t>
  </si>
  <si>
    <t>PHILLIPS DISTRIBUTORS LTD</t>
  </si>
  <si>
    <t>ABBOTT LOGISTICS BV</t>
  </si>
  <si>
    <t>ABBOTT LOGISTICS/ CEVA</t>
  </si>
  <si>
    <t>ABBOTT LOGISTICS</t>
  </si>
  <si>
    <t>FAMAR FRANCE</t>
  </si>
  <si>
    <t>I+SOLUTIONS</t>
  </si>
  <si>
    <t>D.E.L.M</t>
  </si>
  <si>
    <t>PHARMAACCESS INTERNATIONAL</t>
  </si>
  <si>
    <t>DR. C. KITENGE,</t>
  </si>
  <si>
    <t>MARKETING  DISTRIBUTION LTD.</t>
  </si>
  <si>
    <t>SMITH ROBERTSON &amp; CO. LTD</t>
  </si>
  <si>
    <t>SMITH ROBERTSON CO(LTD),</t>
  </si>
  <si>
    <t>GEN ILAC</t>
  </si>
  <si>
    <t>AZERBAIJAN REPUBLIC MOH</t>
  </si>
  <si>
    <t>TURKISH PHARMACISTS' ASSOC.</t>
  </si>
  <si>
    <t>MEDICAL ACCESS UGANDA</t>
  </si>
  <si>
    <t>MEDICAL ACCESS LIMITED</t>
  </si>
  <si>
    <t>FARMADIS LLC</t>
  </si>
  <si>
    <t>FRA-M LTD</t>
  </si>
  <si>
    <t>INDAR</t>
  </si>
  <si>
    <t>MINISTRY OF HEALTH, PUR. SECT.</t>
  </si>
  <si>
    <t>CITY PHARMACY CO</t>
  </si>
  <si>
    <t>MEDI-LINK INTERNATIONAL UK LTD</t>
  </si>
  <si>
    <t>NEOWEST PROJECTS LTD</t>
  </si>
  <si>
    <t>LUDMILA INTERNATIONAL</t>
  </si>
  <si>
    <t>LUDMILA - PHARM LTD</t>
  </si>
  <si>
    <t>MEDIMMUNE</t>
  </si>
  <si>
    <t>MEDIMMUNE INC.</t>
  </si>
  <si>
    <t>PAN AMERICAN HEALTH ORGAN.,</t>
  </si>
  <si>
    <t>MINISTERIO DE SALUD PUBLICA Y</t>
  </si>
  <si>
    <t>REP OFFICE UZBEKISTAN</t>
  </si>
  <si>
    <t>STERELIN MEDICAL DIAGNOSTICS</t>
  </si>
  <si>
    <t>PHARMACEUTICAL CHEMICAL DIS</t>
  </si>
  <si>
    <t>ABBOTT LABORATORIES DO BRASIL</t>
  </si>
  <si>
    <t>PARTNERSHIP SUPPLY CHAIN MGMT</t>
  </si>
  <si>
    <t>CENTRAL PHARMACEUTICAL COMPANY</t>
  </si>
  <si>
    <t>MINISTRY OF PUBLIC HEALTH</t>
  </si>
  <si>
    <t>NATIONAL AIDS SECRETARIAT,</t>
  </si>
  <si>
    <t>PHARMACIE CENTRALE DE TUNISIE</t>
  </si>
  <si>
    <t>PHARMACIE CENTRALE DE TUNIS  (ATC)</t>
  </si>
  <si>
    <t>IDA HIV AIDS GROUP</t>
  </si>
  <si>
    <t>THE PERMANENT SECRETARY C/O</t>
  </si>
  <si>
    <t>CAMEG -TOGO</t>
  </si>
  <si>
    <t>US EMBASSY - PEPFAR</t>
  </si>
  <si>
    <t>MINISTERIO DA SAUDE CENTRAL DE</t>
  </si>
  <si>
    <t>CLINTON HEALTH ACCESS</t>
  </si>
  <si>
    <t>PROGRAMME PACCI (SITE ANRS)</t>
  </si>
  <si>
    <t>OFFICE PHARMACEUTIQUE</t>
  </si>
  <si>
    <t>CENAME MINSTERE DE LA SANTE</t>
  </si>
  <si>
    <t>PCIMU</t>
  </si>
  <si>
    <t>UNICEF SUPPLY DIVISION</t>
  </si>
  <si>
    <t>STOCK NATIONAL DES INTRANTS</t>
  </si>
  <si>
    <t>CENTRAL DE MEDICAMENTOS E</t>
  </si>
  <si>
    <t>MOH GHANA PUBLIC HEALTH</t>
  </si>
  <si>
    <t>ORGANIZAÇÃO MUNDIAL DE SAÚDE</t>
  </si>
  <si>
    <t>SE/CNLS</t>
  </si>
  <si>
    <t>SCMS GUYANA</t>
  </si>
  <si>
    <t>USAID HAITI</t>
  </si>
  <si>
    <t>SEP/CNLS</t>
  </si>
  <si>
    <t>THE PARTNERSHIP FOR SUPPLY</t>
  </si>
  <si>
    <t>PSP C/O PNPEC</t>
  </si>
  <si>
    <t>GLOBAL PROJECTS IMPL. CENTER</t>
  </si>
  <si>
    <t>DIRECÇAO GERAL DE FARMÁCIA</t>
  </si>
  <si>
    <t>CNLS/UNITE DE CESSION DE</t>
  </si>
  <si>
    <t>DNLS</t>
  </si>
  <si>
    <t>CORDAID BAS</t>
  </si>
  <si>
    <t>SECRETARIAT GENERAL DE LA</t>
  </si>
  <si>
    <t>US EMBASSY KINSHASA/USAID</t>
  </si>
  <si>
    <t>REPUBLIC CENTER OF</t>
  </si>
  <si>
    <t>THE AMERICAN EMBASSY</t>
  </si>
  <si>
    <t>SP/CNLS-IST</t>
  </si>
  <si>
    <t>CAMEBU</t>
  </si>
  <si>
    <t>NATIONAL CENTRE FOR HIV/AIDS</t>
  </si>
  <si>
    <t>CENAME ON BEHALF OF THE MOH</t>
  </si>
  <si>
    <t>PHARMACIE CENTRALE-CHU DE FANN</t>
  </si>
  <si>
    <t>CHURCHES HEALTH ASSOCIATION</t>
  </si>
  <si>
    <t>PNLS  MINISTERE DE LA SANTE</t>
  </si>
  <si>
    <t>HOPITAL CENTRAL YAOUNDE</t>
  </si>
  <si>
    <t>CAMERWA ASBL</t>
  </si>
  <si>
    <t>UNITED STATES EMBASSY,</t>
  </si>
  <si>
    <t>USAID UG/DISTRICT BASED PROGR.</t>
  </si>
  <si>
    <t>JOINT MEDICAL STORES</t>
  </si>
  <si>
    <t>LOGISTICS MANAGEMENT DIVISION</t>
  </si>
  <si>
    <t>CIPS MINISTERIO DE SALUD</t>
  </si>
  <si>
    <t>US EMBASSADOR/DIPLOMATIC CARGO</t>
  </si>
  <si>
    <t>NACA</t>
  </si>
  <si>
    <t>MOH - GLOBAL FUND AIDS,</t>
  </si>
  <si>
    <t>REPUBLIC OF LIBERIA, MOHSW</t>
  </si>
  <si>
    <t>NATIONAL AIDS COMMISSION</t>
  </si>
  <si>
    <t>MOH CHILD WELFARE CO NATL.</t>
  </si>
  <si>
    <t>FARMAS MN, DOOEL</t>
  </si>
  <si>
    <t>UNDP GLOBAL FUNDS UNIT</t>
  </si>
  <si>
    <t>UNDP ZAMBIA - GLOBAL FUND</t>
  </si>
  <si>
    <t>UNIVERSITY HOSPITAL CENTER</t>
  </si>
  <si>
    <t>UNICEF SAO TOME</t>
  </si>
  <si>
    <t>THE RESIDENT REPRESENTATIVE</t>
  </si>
  <si>
    <t>MINISTRY OF HEALTH KOSOVO</t>
  </si>
  <si>
    <t>UNICEF SUPPORT CENTRE</t>
  </si>
  <si>
    <t>UNDP HAITI - GLOBAL FUND</t>
  </si>
  <si>
    <t>GETMA</t>
  </si>
  <si>
    <t>UNDP EQUATORIAL GUINEA</t>
  </si>
  <si>
    <t>UNDP EL SALVADOR</t>
  </si>
  <si>
    <t>PROGRAMME DES NATIONS UNIES POUR LE</t>
  </si>
  <si>
    <t>UNOPS MYANMAROC</t>
  </si>
  <si>
    <t>PNUD MALI</t>
  </si>
  <si>
    <t>UNDP UZBEKISTAN</t>
  </si>
  <si>
    <t>UNDP TAJIKISTAN</t>
  </si>
  <si>
    <t>UNICEF CAIRO</t>
  </si>
  <si>
    <t>UNICEF N'DJAMENA</t>
  </si>
  <si>
    <t>NATIONAL CENTER FOR HIV/AIDS</t>
  </si>
  <si>
    <t>RUP BELPHARMATSIYA</t>
  </si>
  <si>
    <t>UNDP ANGOLA (GLOBAL FUND)</t>
  </si>
  <si>
    <t>KIDNEY CENTRE LTD.</t>
  </si>
  <si>
    <t>UNIVERSITY OF LIVERPOOL</t>
  </si>
  <si>
    <t>THE CHANTAL BIYA INT CENTRE</t>
  </si>
  <si>
    <t>MASSY DISTRIBUTION (TRINIDAD)</t>
  </si>
  <si>
    <t>GETZ PHARMA PRIVATE LIMITED</t>
  </si>
  <si>
    <t>NAT.DRUG SERVICE ORGANIZATION</t>
  </si>
  <si>
    <t>ABBOTT LABORATORIES</t>
  </si>
  <si>
    <t>P.T. ABBOTT INDONESIA</t>
  </si>
  <si>
    <t>ABBOTT LABORATORIES ARGENTINA</t>
  </si>
  <si>
    <t>ABBOTT LABORATORIES C.A.</t>
  </si>
  <si>
    <t>ABBOTT LABORATORIES, C.A.,</t>
  </si>
  <si>
    <t>ABBOTT LABORATORIES, C.A.</t>
  </si>
  <si>
    <t>ABBOTT INDIA LTD.</t>
  </si>
  <si>
    <t>ABBOTT INDIA LTD</t>
  </si>
  <si>
    <t>ABBOTT LAB.DEL ECUADOR CIA LTD</t>
  </si>
  <si>
    <t>WOCKHARDT LIMITED</t>
  </si>
  <si>
    <t>M/S UNIMAX CHEMICALS PVT.LTD.</t>
  </si>
  <si>
    <t>CENTURY PHARMACEUTICALS</t>
  </si>
  <si>
    <t>SOCIETE COMMERCIALE SURESNOISE</t>
  </si>
  <si>
    <t>M/S MICRO ORGO-CHEM</t>
  </si>
  <si>
    <t>ACETO PTE LTD</t>
  </si>
  <si>
    <t>ARAB COMPANY OF TECHNOLOGY FOR</t>
  </si>
  <si>
    <t>STRIDES ARCOLAB LIMITED,</t>
  </si>
  <si>
    <t>DIVI'S LABORATORIES LTD</t>
  </si>
  <si>
    <t>TEVA PHARM. INDUSTRIES LTD.</t>
  </si>
  <si>
    <t>TEVA PHARM. INDUSTRIES LTD C/O</t>
  </si>
  <si>
    <t>SUN PHARMACEUTICAL IND. LTD.,</t>
  </si>
  <si>
    <t>VAPCO</t>
  </si>
  <si>
    <t>VETERINARY AGRICULTURAL</t>
  </si>
  <si>
    <t>SHIP TO: AS PER INVOICE TO</t>
  </si>
  <si>
    <t>ADWIA EGYPTIAN CO FOR</t>
  </si>
  <si>
    <t>CADILA PHARMACEUTICAL LIMITED</t>
  </si>
  <si>
    <t>CALYX CHEMICALS AND PHARMACEUT</t>
  </si>
  <si>
    <t>M/S ALEMBIC PHARMACEUTICALS</t>
  </si>
  <si>
    <t>ALEMBIC LTD.C/O BANK OF BARODA</t>
  </si>
  <si>
    <t>ALEMBIC LTD.C/O</t>
  </si>
  <si>
    <t>ALEMBIC LIMITED APIP DIVISION</t>
  </si>
  <si>
    <t>IN THE NAME OF INDIAN BANK,</t>
  </si>
  <si>
    <t>BANK OF BARODA, CORPORATE</t>
  </si>
  <si>
    <t>ALEMBIC LTD FORMULATION DIV.</t>
  </si>
  <si>
    <t>PHARMACEUTICAL EGYPTIAN ACC.</t>
  </si>
  <si>
    <t>BNP PARIBAS BANK-NOHZA BRANCH</t>
  </si>
  <si>
    <t>AMPHAR B.V.</t>
  </si>
  <si>
    <t>GLENMARK PHARMACEUTICALS</t>
  </si>
  <si>
    <t>EMCURE PHARMACEUTICAL LTD</t>
  </si>
  <si>
    <t>CHEMO S.A. LUGANO BRANCH</t>
  </si>
  <si>
    <t>FAMAR L'AIGLE</t>
  </si>
  <si>
    <t>FAMAR L'AIGLE SAS</t>
  </si>
  <si>
    <t>ASTELLAS PHARMA INC.</t>
  </si>
  <si>
    <t>LINARIA CHEMICALS LTD</t>
  </si>
  <si>
    <t>STOCKPHARMA S.A.</t>
  </si>
  <si>
    <t>THE ARAB PHARMACEUTICAL</t>
  </si>
  <si>
    <t>GLAXOSMITHKLINE</t>
  </si>
  <si>
    <t>HALO PHARMACEUTICAL INC.</t>
  </si>
  <si>
    <t>ALEMBIC GLOBAL HOLDING SA</t>
  </si>
  <si>
    <t>ALEMBIC LIMITED</t>
  </si>
  <si>
    <t>ALEMBIC PHARMACEUTICALS</t>
  </si>
  <si>
    <t>CHEMET</t>
  </si>
  <si>
    <t>Socosur</t>
  </si>
  <si>
    <t>TAKEDA NYCOMED AS</t>
  </si>
  <si>
    <t>ABBOTT LABORATORIOS S.A.</t>
  </si>
  <si>
    <t>ABBOTT LABORATORIES (PAKISTAN)</t>
  </si>
  <si>
    <t>CERTUS PHARMA LLC</t>
  </si>
  <si>
    <t>TAKEDA GMBH</t>
  </si>
  <si>
    <t>ABBOTT LABORATORIES DE MEXICO,</t>
  </si>
  <si>
    <t>D.N.U.F.I. ABBOTT LABORATORIES</t>
  </si>
  <si>
    <t>ABBOTT LABS S.A.(PTY) LTD</t>
  </si>
  <si>
    <t>GOVERNMENT OF DUBAI</t>
  </si>
  <si>
    <t>ABBOTT JAPAN.CO.LTD</t>
  </si>
  <si>
    <t>ABBOTT KOREA LIMITED</t>
  </si>
  <si>
    <t>STATE PHARMACEUTICALS</t>
  </si>
  <si>
    <t>WALID AL-TURK DRUGSTORE</t>
  </si>
  <si>
    <t>ABU DHABI COMPANY FOR HEALTH</t>
  </si>
  <si>
    <t>ABU DHABI FOR HEALTH SERVICES</t>
  </si>
  <si>
    <t>RELAD INTERNATIONAL S.R.L</t>
  </si>
  <si>
    <t>TRIDEM DISTRI</t>
  </si>
  <si>
    <t>VELEFARM AD HOLDING</t>
  </si>
  <si>
    <t>CROIX ROUGE FRANCAISE-SCE</t>
  </si>
  <si>
    <t>IC1008</t>
  </si>
  <si>
    <t>AbbVie Biotechnology Ltd (ABL)</t>
  </si>
  <si>
    <t>IC1032</t>
  </si>
  <si>
    <t>Knoll LLC BV</t>
  </si>
  <si>
    <t>IC1039</t>
  </si>
  <si>
    <t>ABBVIE PARENT</t>
  </si>
  <si>
    <t>IC1273</t>
  </si>
  <si>
    <t>AbbVie Ltd Puerto Rico</t>
  </si>
  <si>
    <t>IC1335</t>
  </si>
  <si>
    <t>AbbVie Pharma BV</t>
  </si>
  <si>
    <t>IC1521</t>
  </si>
  <si>
    <t>Fournier Labs Ireland Ltd, Cork</t>
  </si>
  <si>
    <t>IC6000</t>
  </si>
  <si>
    <t>AbbVie Inc (US Commercial)</t>
  </si>
  <si>
    <t>IC6002</t>
  </si>
  <si>
    <t>ABBVIE S.A</t>
  </si>
  <si>
    <t>IC6003</t>
  </si>
  <si>
    <t>IC6012</t>
  </si>
  <si>
    <t>ABBVIE CORPORATION</t>
  </si>
  <si>
    <t>IC6013</t>
  </si>
  <si>
    <t>AbbVie Productos Farmaceuticos Limi</t>
  </si>
  <si>
    <t>IC6021</t>
  </si>
  <si>
    <t>AbbVie Farmaceutica Ltda</t>
  </si>
  <si>
    <t>IC6030</t>
  </si>
  <si>
    <t>Abbvie Israel</t>
  </si>
  <si>
    <t>IC6049</t>
  </si>
  <si>
    <t>AbbVie Endocrine Inc.</t>
  </si>
  <si>
    <t>IC6056</t>
  </si>
  <si>
    <t>AbbVie Spain, S.L.U.</t>
  </si>
  <si>
    <t>IC6075</t>
  </si>
  <si>
    <t>AbbVie Ltd</t>
  </si>
  <si>
    <t>IC6076</t>
  </si>
  <si>
    <t>AbbVie AB</t>
  </si>
  <si>
    <t>IC6078</t>
  </si>
  <si>
    <t>AbbVie A/S</t>
  </si>
  <si>
    <t>IC6079</t>
  </si>
  <si>
    <t>AbbVie BV</t>
  </si>
  <si>
    <t>IC6080</t>
  </si>
  <si>
    <t>AbbVie SA</t>
  </si>
  <si>
    <t>IC6083</t>
  </si>
  <si>
    <t>AbbVie GmbH</t>
  </si>
  <si>
    <t>IC6085</t>
  </si>
  <si>
    <t>AbbVie Kft</t>
  </si>
  <si>
    <t>IC6087</t>
  </si>
  <si>
    <t>AbbVie AG</t>
  </si>
  <si>
    <t>IC6090</t>
  </si>
  <si>
    <t>AbbVie Sp zoo</t>
  </si>
  <si>
    <t>IC6091</t>
  </si>
  <si>
    <t>AbbVie Limited Liability Company</t>
  </si>
  <si>
    <t>IC6092</t>
  </si>
  <si>
    <t>AbbVie Srl</t>
  </si>
  <si>
    <t>IC6093</t>
  </si>
  <si>
    <t>AbbVie, L.da</t>
  </si>
  <si>
    <t>IC6096</t>
  </si>
  <si>
    <t>AbbVie Pharmaceuticals S.A.</t>
  </si>
  <si>
    <t>IC6101</t>
  </si>
  <si>
    <t>AbbVie Farmacéuticos, S.A. de C.V.</t>
  </si>
  <si>
    <t>IC6106</t>
  </si>
  <si>
    <t>AbbVie Deutschland GmbH &amp; Co. KG</t>
  </si>
  <si>
    <t>IC6109</t>
  </si>
  <si>
    <t>AbbVie Pharmaceuticals CA</t>
  </si>
  <si>
    <t>IC6110</t>
  </si>
  <si>
    <t>AbbVie S.A.S.</t>
  </si>
  <si>
    <t>IC6111</t>
  </si>
  <si>
    <t>IC6112</t>
  </si>
  <si>
    <t>ABBVIE SAS, SUCURSAL DEL PERU</t>
  </si>
  <si>
    <t>IC6115</t>
  </si>
  <si>
    <t>AbbVie S.A.</t>
  </si>
  <si>
    <t>IC6117</t>
  </si>
  <si>
    <t>AbbVie GK</t>
  </si>
  <si>
    <t>IC6120</t>
  </si>
  <si>
    <t>G04 ABBVIE SA ARGENTINA</t>
  </si>
  <si>
    <t>IC6136</t>
  </si>
  <si>
    <t>ABBVIE IRELAND NL BV</t>
  </si>
  <si>
    <t>IC6146</t>
  </si>
  <si>
    <t>AbbVie Tıbbi Ilaçlar San.ve Tic.Ltd</t>
  </si>
  <si>
    <t>IC6152</t>
  </si>
  <si>
    <t>ABBVIE PTE.LTD</t>
  </si>
  <si>
    <t>IC6158</t>
  </si>
  <si>
    <t>AbbVie Limited</t>
  </si>
  <si>
    <t>IC6159</t>
  </si>
  <si>
    <t>AbbVie India</t>
  </si>
  <si>
    <t>IC6162</t>
  </si>
  <si>
    <t>AbbVie BioPharmaceuticals GmbH Taiw</t>
  </si>
  <si>
    <t>IC6166</t>
  </si>
  <si>
    <t>ABBVIE LIMITED</t>
  </si>
  <si>
    <t>IC6172</t>
  </si>
  <si>
    <t>AbbVie Sdn Bhd</t>
  </si>
  <si>
    <t>IC6175</t>
  </si>
  <si>
    <t>AbbVie (Pty) Ltd</t>
  </si>
  <si>
    <t>IC6181</t>
  </si>
  <si>
    <t>AbbVie Egypt Ltd</t>
  </si>
  <si>
    <t>IC6182</t>
  </si>
  <si>
    <t>Egypt (Scientific Office)</t>
  </si>
  <si>
    <t>IC6200</t>
  </si>
  <si>
    <t>AbbVie Pharmaceutical Trading</t>
  </si>
  <si>
    <t>IC6204</t>
  </si>
  <si>
    <t>IC6225</t>
  </si>
  <si>
    <t>AbbVie Pty Ltd</t>
  </si>
  <si>
    <t>IC6226</t>
  </si>
  <si>
    <t>IC6229</t>
  </si>
  <si>
    <t>ABBVIE S.R.L</t>
  </si>
  <si>
    <t>IC6268</t>
  </si>
  <si>
    <t>AbbVie Ltd.</t>
  </si>
  <si>
    <t>IC6294</t>
  </si>
  <si>
    <t>AbbVie Oy</t>
  </si>
  <si>
    <t>IC6297</t>
  </si>
  <si>
    <t>IC6323</t>
  </si>
  <si>
    <t>AbbVie Model D India</t>
  </si>
  <si>
    <t>IC6512</t>
  </si>
  <si>
    <t>AbbVie FRANCE</t>
  </si>
  <si>
    <t>IC6563</t>
  </si>
  <si>
    <t>AbbVie EOOD</t>
  </si>
  <si>
    <t>IC6585</t>
  </si>
  <si>
    <t>AbbVie s.r.o.</t>
  </si>
  <si>
    <t>IC6804</t>
  </si>
  <si>
    <t>P1060</t>
  </si>
  <si>
    <t>P1061</t>
  </si>
  <si>
    <t>P1176</t>
  </si>
  <si>
    <t>P1249</t>
  </si>
  <si>
    <t>P1286</t>
  </si>
  <si>
    <t>P1290</t>
  </si>
  <si>
    <t>P1438</t>
  </si>
  <si>
    <t>P1441</t>
  </si>
  <si>
    <t>P6100</t>
  </si>
  <si>
    <t>P6105</t>
  </si>
  <si>
    <t>P6110</t>
  </si>
  <si>
    <t>P6115</t>
  </si>
  <si>
    <t>P6116</t>
  </si>
  <si>
    <t>P6117</t>
  </si>
  <si>
    <t>P6120</t>
  </si>
  <si>
    <t>P6123</t>
  </si>
  <si>
    <t>P6205</t>
  </si>
  <si>
    <t>P6206</t>
  </si>
  <si>
    <t>P6208</t>
  </si>
  <si>
    <t>P6209</t>
  </si>
  <si>
    <t>P6210</t>
  </si>
  <si>
    <t>P6230</t>
  </si>
  <si>
    <t>P6231</t>
  </si>
  <si>
    <t>P6237</t>
  </si>
  <si>
    <t>P6238</t>
  </si>
  <si>
    <t>P6239</t>
  </si>
  <si>
    <t>P6302</t>
  </si>
  <si>
    <t>P6303</t>
  </si>
  <si>
    <t>P6304</t>
  </si>
  <si>
    <t>P6305</t>
  </si>
  <si>
    <t>P6307</t>
  </si>
  <si>
    <t>P6308</t>
  </si>
  <si>
    <t>P6309</t>
  </si>
  <si>
    <t>P6310</t>
  </si>
  <si>
    <t>P6336</t>
  </si>
  <si>
    <t>P6400</t>
  </si>
  <si>
    <t>P6401</t>
  </si>
  <si>
    <t>P6402</t>
  </si>
  <si>
    <t>P6403</t>
  </si>
  <si>
    <t>P6404</t>
  </si>
  <si>
    <t>P6405</t>
  </si>
  <si>
    <t>P6406</t>
  </si>
  <si>
    <t>P6407</t>
  </si>
  <si>
    <t>P6420</t>
  </si>
  <si>
    <t>P6421</t>
  </si>
  <si>
    <t>P6427</t>
  </si>
  <si>
    <t>P6428</t>
  </si>
  <si>
    <t>P6433</t>
  </si>
  <si>
    <t>P6434</t>
  </si>
  <si>
    <t>P6438</t>
  </si>
  <si>
    <t>P6439</t>
  </si>
  <si>
    <t>P6440</t>
  </si>
  <si>
    <t>P6442</t>
  </si>
  <si>
    <t>P6444</t>
  </si>
  <si>
    <t>P6447</t>
  </si>
  <si>
    <t>P6449</t>
  </si>
  <si>
    <t>P6450</t>
  </si>
  <si>
    <t>P6451</t>
  </si>
  <si>
    <t>P6452</t>
  </si>
  <si>
    <t>P6454</t>
  </si>
  <si>
    <t>P6455</t>
  </si>
  <si>
    <t>P6467</t>
  </si>
  <si>
    <t>P6468</t>
  </si>
  <si>
    <t>P6472</t>
  </si>
  <si>
    <t>P6473</t>
  </si>
  <si>
    <t>P6481</t>
  </si>
  <si>
    <t>P6482</t>
  </si>
  <si>
    <t>P6491</t>
  </si>
  <si>
    <t>P6492</t>
  </si>
  <si>
    <t>P6493</t>
  </si>
  <si>
    <t>P6495</t>
  </si>
  <si>
    <t>P6496</t>
  </si>
  <si>
    <t>P7204</t>
  </si>
  <si>
    <t>ABBVIE LOGISTICS B.V.</t>
  </si>
  <si>
    <t>P7318</t>
  </si>
  <si>
    <t>P7408</t>
  </si>
  <si>
    <t>P7409</t>
  </si>
  <si>
    <t>P7410</t>
  </si>
  <si>
    <t>P7411</t>
  </si>
  <si>
    <t>P7412</t>
  </si>
  <si>
    <t>P7413</t>
  </si>
  <si>
    <t>P7414</t>
  </si>
  <si>
    <t>P7415</t>
  </si>
  <si>
    <t>P7416</t>
  </si>
  <si>
    <t>P7423</t>
  </si>
  <si>
    <t>P7429</t>
  </si>
  <si>
    <t>P7431</t>
  </si>
  <si>
    <t>P7487</t>
  </si>
  <si>
    <t>P7489</t>
  </si>
  <si>
    <t>P7490</t>
  </si>
  <si>
    <t>P7496</t>
  </si>
  <si>
    <t>P7498</t>
  </si>
  <si>
    <t>P8126</t>
  </si>
  <si>
    <t>P8370</t>
  </si>
  <si>
    <t>P8445</t>
  </si>
  <si>
    <t>P8446</t>
  </si>
  <si>
    <t>P8465</t>
  </si>
  <si>
    <t>P8466</t>
  </si>
  <si>
    <t>P8467</t>
  </si>
  <si>
    <t>P8469</t>
  </si>
  <si>
    <t>P8471</t>
  </si>
  <si>
    <t>P8474</t>
  </si>
  <si>
    <t>P8475</t>
  </si>
  <si>
    <t>P8477</t>
  </si>
  <si>
    <t>P8478</t>
  </si>
  <si>
    <t>P8479</t>
  </si>
  <si>
    <t>P8480</t>
  </si>
  <si>
    <t>P8481</t>
  </si>
  <si>
    <t>P8482</t>
  </si>
  <si>
    <t>P8483</t>
  </si>
  <si>
    <t>P8484</t>
  </si>
  <si>
    <t>P8485</t>
  </si>
  <si>
    <t>P8486</t>
  </si>
  <si>
    <t>P8487</t>
  </si>
  <si>
    <t>P8488</t>
  </si>
  <si>
    <t>PL6201CRYD</t>
  </si>
  <si>
    <t>PL6201DANG</t>
  </si>
  <si>
    <t>PL6207CRYD</t>
  </si>
  <si>
    <t>PL6231CRYD</t>
  </si>
  <si>
    <t>PL6237CRYD</t>
  </si>
  <si>
    <t>EUR</t>
  </si>
  <si>
    <t>Clearing date</t>
  </si>
  <si>
    <t>Amount in doc. curr.</t>
  </si>
  <si>
    <t>Document currency</t>
  </si>
  <si>
    <t>Invoice reference</t>
  </si>
  <si>
    <t>Billing Document</t>
  </si>
  <si>
    <t>Reference Key 2</t>
  </si>
  <si>
    <t>Reference</t>
  </si>
  <si>
    <t>SA</t>
  </si>
  <si>
    <t>Policy</t>
  </si>
  <si>
    <t>Insured</t>
  </si>
  <si>
    <t>Date</t>
  </si>
  <si>
    <t>Debtor</t>
  </si>
  <si>
    <t>National Id</t>
  </si>
  <si>
    <t>Requested amount</t>
  </si>
  <si>
    <t/>
  </si>
  <si>
    <t>Amount</t>
  </si>
  <si>
    <t>Currency</t>
  </si>
  <si>
    <t>Status</t>
  </si>
  <si>
    <t>Temporary increase</t>
  </si>
  <si>
    <t>Conditions</t>
  </si>
  <si>
    <t>Clauses</t>
  </si>
  <si>
    <t>Guarantor</t>
  </si>
  <si>
    <t>Annex</t>
  </si>
  <si>
    <t>File</t>
  </si>
  <si>
    <t>Client reference</t>
  </si>
  <si>
    <t>53389</t>
  </si>
  <si>
    <t>20/2/2015</t>
  </si>
  <si>
    <t>KO</t>
  </si>
  <si>
    <t>N.SH. MEDITECH</t>
  </si>
  <si>
    <t>Approval</t>
  </si>
  <si>
    <t>LIMIT</t>
  </si>
  <si>
    <t>154</t>
  </si>
  <si>
    <t>339874-14</t>
  </si>
  <si>
    <t>6/2/2015</t>
  </si>
  <si>
    <t>AZ</t>
  </si>
  <si>
    <t>Avromed Company MMC</t>
  </si>
  <si>
    <t>153</t>
  </si>
  <si>
    <t>171716-71</t>
  </si>
  <si>
    <t>MA</t>
  </si>
  <si>
    <t>MAPHAR</t>
  </si>
  <si>
    <t>Modification</t>
  </si>
  <si>
    <t>78667-97</t>
  </si>
  <si>
    <t>5/1/2015</t>
  </si>
  <si>
    <t>BA</t>
  </si>
  <si>
    <t>4227015090005</t>
  </si>
  <si>
    <t>137</t>
  </si>
  <si>
    <t>209807-04</t>
  </si>
  <si>
    <t>AM</t>
  </si>
  <si>
    <t>PHARM TRUST CO. LTD</t>
  </si>
  <si>
    <t>139</t>
  </si>
  <si>
    <t>336023-82</t>
  </si>
  <si>
    <t>AL</t>
  </si>
  <si>
    <t>UNICEF ALBANIA</t>
  </si>
  <si>
    <t>124</t>
  </si>
  <si>
    <t>428340-12</t>
  </si>
  <si>
    <t>1/1/2015</t>
  </si>
  <si>
    <t>MK</t>
  </si>
  <si>
    <t>MAKEDONIJALEK D.O.O.E.L.</t>
  </si>
  <si>
    <t>4247965</t>
  </si>
  <si>
    <t>147</t>
  </si>
  <si>
    <t>198904-43</t>
  </si>
  <si>
    <t>KZ</t>
  </si>
  <si>
    <t>Raifarm (raifarm) TOO</t>
  </si>
  <si>
    <t>355671-28</t>
  </si>
  <si>
    <t>EG</t>
  </si>
  <si>
    <t>MULTIPHARMA COMPANY SAE</t>
  </si>
  <si>
    <t>269834</t>
  </si>
  <si>
    <t>122230-87</t>
  </si>
  <si>
    <t>MD</t>
  </si>
  <si>
    <t>DITA ESTFARM SRL</t>
  </si>
  <si>
    <t>134</t>
  </si>
  <si>
    <t>183407-20</t>
  </si>
  <si>
    <t>AK NIET TOO</t>
  </si>
  <si>
    <t>129</t>
  </si>
  <si>
    <t>220180-10</t>
  </si>
  <si>
    <t>GE</t>
  </si>
  <si>
    <t>PSP-Pharma Ltd</t>
  </si>
  <si>
    <t>146</t>
  </si>
  <si>
    <t>165087-07</t>
  </si>
  <si>
    <t>HR</t>
  </si>
  <si>
    <t>PHOENIX Farmacija dionicko drustvo za promet lijekovima i opremom na veliko</t>
  </si>
  <si>
    <t>3273377</t>
  </si>
  <si>
    <t>x</t>
  </si>
  <si>
    <t>144</t>
  </si>
  <si>
    <t>193775-31</t>
  </si>
  <si>
    <t>Medservis Plyus KFK TOO</t>
  </si>
  <si>
    <t>133</t>
  </si>
  <si>
    <t>118826-96</t>
  </si>
  <si>
    <t>MEGAPHARMA SH.P.K.</t>
  </si>
  <si>
    <t>126</t>
  </si>
  <si>
    <t>255972-11</t>
  </si>
  <si>
    <t>MEDICAL INTERTRADE d.o.o.</t>
  </si>
  <si>
    <t>155393-01</t>
  </si>
  <si>
    <t>FENIKS FARMA D.O.O.E.L.</t>
  </si>
  <si>
    <t>135</t>
  </si>
  <si>
    <t>313777-18</t>
  </si>
  <si>
    <t>Viva Farm TOO</t>
  </si>
  <si>
    <t>130</t>
  </si>
  <si>
    <t>238462-61</t>
  </si>
  <si>
    <t>RO</t>
  </si>
  <si>
    <t>145</t>
  </si>
  <si>
    <t>128780-36</t>
  </si>
  <si>
    <t>TOVARISCHESTVO S OGRANICHENNOY OTVETSTVENNOSTYU STOFARM</t>
  </si>
  <si>
    <t>151</t>
  </si>
  <si>
    <t>236531-52</t>
  </si>
  <si>
    <t>JSC "GEORGIAN PHARMACEUTICAL COMMUNICATIONS"</t>
  </si>
  <si>
    <t>127</t>
  </si>
  <si>
    <t>129664-25</t>
  </si>
  <si>
    <t>3856020</t>
  </si>
  <si>
    <t>140</t>
  </si>
  <si>
    <t>155394-97</t>
  </si>
  <si>
    <t>KE</t>
  </si>
  <si>
    <t>SURGIPHARM LTD</t>
  </si>
  <si>
    <t>136</t>
  </si>
  <si>
    <t>196124-10</t>
  </si>
  <si>
    <t>TN</t>
  </si>
  <si>
    <t>131</t>
  </si>
  <si>
    <t>901446-72</t>
  </si>
  <si>
    <t>Farma Trejd DOO</t>
  </si>
  <si>
    <t>138</t>
  </si>
  <si>
    <t>313734-61</t>
  </si>
  <si>
    <t>3209741</t>
  </si>
  <si>
    <t>142</t>
  </si>
  <si>
    <t>111536-14</t>
  </si>
  <si>
    <t>Medicus Centre TOO</t>
  </si>
  <si>
    <t>Maintaining of Suspension</t>
  </si>
  <si>
    <t>128</t>
  </si>
  <si>
    <t>122869-30</t>
  </si>
  <si>
    <t>54310</t>
  </si>
  <si>
    <t>3/12/2014</t>
  </si>
  <si>
    <t>Increase</t>
  </si>
  <si>
    <t>2</t>
  </si>
  <si>
    <t>910669-64</t>
  </si>
  <si>
    <t>Credit Insurance</t>
  </si>
  <si>
    <t>(blank)</t>
  </si>
  <si>
    <t>(All)</t>
  </si>
  <si>
    <t>Application number</t>
  </si>
  <si>
    <t>Your reference</t>
  </si>
  <si>
    <t>Buyer</t>
  </si>
  <si>
    <t>Buyer name</t>
  </si>
  <si>
    <t>Decision total amount(000)</t>
  </si>
  <si>
    <t>Decision effective date</t>
  </si>
  <si>
    <t>Decision type</t>
  </si>
  <si>
    <t>Expiry date</t>
  </si>
  <si>
    <t>Abu Dhabi (UAE)</t>
  </si>
  <si>
    <t>CITY PHARMACY COMPANY - W L L</t>
  </si>
  <si>
    <t>Current decision</t>
  </si>
  <si>
    <t>HEALTH AUTHORITY ABU DHABI</t>
  </si>
  <si>
    <t>Bahrain</t>
  </si>
  <si>
    <t>WAEL PHARMACY COMPANY W.L.L.</t>
  </si>
  <si>
    <t>Belgium</t>
  </si>
  <si>
    <t>China</t>
  </si>
  <si>
    <t>SINOPHARM GROUP DISTRIBUTION CO LTD</t>
  </si>
  <si>
    <t>Denmark</t>
  </si>
  <si>
    <t>UNICEF DANMARK</t>
  </si>
  <si>
    <t>Dubai (UAE)</t>
  </si>
  <si>
    <t>DUBAI HEALTH AUTHORITY</t>
  </si>
  <si>
    <t>PHARAON HEALTHCARE AFRICA FZ-LLC</t>
  </si>
  <si>
    <t>Estonia</t>
  </si>
  <si>
    <t>MAGNUM MEDICAL OÜ</t>
  </si>
  <si>
    <t>TAMRO EESTI OÜ</t>
  </si>
  <si>
    <t>Ethiopia</t>
  </si>
  <si>
    <t>PHARMACEUTICALS FUND AND SUPPLY</t>
  </si>
  <si>
    <t>France</t>
  </si>
  <si>
    <t>GALDERMA INTERNATIONAL</t>
  </si>
  <si>
    <t>MEDECINS SANS FRONTIERES</t>
  </si>
  <si>
    <t>Germany</t>
  </si>
  <si>
    <t>SOLVADIS DISTRIBUTION GMBH</t>
  </si>
  <si>
    <t>Gibraltar</t>
  </si>
  <si>
    <t>THE BRITISH PHARMACEUTICAL</t>
  </si>
  <si>
    <t>Hong Kong</t>
  </si>
  <si>
    <t>UNIVERSAL PHARMACEUTICAL SUPPLIER</t>
  </si>
  <si>
    <t>India</t>
  </si>
  <si>
    <t>ALEMBIC LTD</t>
  </si>
  <si>
    <t>ANUH PHARMA LIMITED</t>
  </si>
  <si>
    <t>MEHTA PHARMACEUTICALS INDUSTRIES.</t>
  </si>
  <si>
    <t>Indonesia</t>
  </si>
  <si>
    <t>Ireland</t>
  </si>
  <si>
    <t>Israel</t>
  </si>
  <si>
    <t>TEVA PHARMACEUTICAL INDUSTRIES LTD</t>
  </si>
  <si>
    <t>Italy</t>
  </si>
  <si>
    <t>CAMBREX PROFARMACO MILANO S.R.L.</t>
  </si>
  <si>
    <t>LABORATORIO FARMACEUTICO S.I.T. -</t>
  </si>
  <si>
    <t>VETOQUINOL ITALIA S.R.L. (LA</t>
  </si>
  <si>
    <t>Japan</t>
  </si>
  <si>
    <t>MARUISHI PHARMACEUTICAL CO LTD</t>
  </si>
  <si>
    <t>SANOFI-AVENTIS KK</t>
  </si>
  <si>
    <t>Jordan</t>
  </si>
  <si>
    <t>ARAB PESTICIDES &amp; VETERINARY DRUGS</t>
  </si>
  <si>
    <t>HUSAM SAID ALNIMER AL NIMER</t>
  </si>
  <si>
    <t>MUNIR SUKHTIAN TRADING GROUP CO.</t>
  </si>
  <si>
    <t>TAYSER ABU SHEIKHA DRUGS COMPANY</t>
  </si>
  <si>
    <t>Korea (South)</t>
  </si>
  <si>
    <t>Kuwait</t>
  </si>
  <si>
    <t>AL MOJIL DRUG COMPANY K.S.C.C.</t>
  </si>
  <si>
    <t>YIACO MEDICAL COMPANY K.S.C.C.</t>
  </si>
  <si>
    <t>Latvia</t>
  </si>
  <si>
    <t>RECIPE PLUS AS</t>
  </si>
  <si>
    <t>Lebanon</t>
  </si>
  <si>
    <t>INTERPHARMA SAL</t>
  </si>
  <si>
    <t>Lesotho</t>
  </si>
  <si>
    <t>Lithuania</t>
  </si>
  <si>
    <t>ARMILA UAB</t>
  </si>
  <si>
    <t>LIMEDIKA UAB</t>
  </si>
  <si>
    <t>TAMRO UAB</t>
  </si>
  <si>
    <t>Malta</t>
  </si>
  <si>
    <t>V.J. SALOMONE ( PHARMA )LTD</t>
  </si>
  <si>
    <t>Mauritius</t>
  </si>
  <si>
    <t>IRELAND BLYTH LIMITED (IBL)</t>
  </si>
  <si>
    <t>Montenegro</t>
  </si>
  <si>
    <t>DRUSTVO ZA TRGOVINU NA VELIKO</t>
  </si>
  <si>
    <t>Namibia</t>
  </si>
  <si>
    <t>NEW MEDICAL INVESTMENT</t>
  </si>
  <si>
    <t>Netherlands</t>
  </si>
  <si>
    <t>Norway</t>
  </si>
  <si>
    <t>Oman</t>
  </si>
  <si>
    <t>IBN SINA PHARMACY L.L.C</t>
  </si>
  <si>
    <t>Pakistan</t>
  </si>
  <si>
    <t>GETZ PHARMA PVT LTD</t>
  </si>
  <si>
    <t>Philippines</t>
  </si>
  <si>
    <t>Portugal</t>
  </si>
  <si>
    <t>Qatar</t>
  </si>
  <si>
    <t>AHMED KHALIL AL BAKER &amp; SONS</t>
  </si>
  <si>
    <t>Romania</t>
  </si>
  <si>
    <t>EUROPHARM SA</t>
  </si>
  <si>
    <t>FARMEXPERT D.C.I. SRL</t>
  </si>
  <si>
    <t>POLISANO SRL</t>
  </si>
  <si>
    <t>Saudi Arabia</t>
  </si>
  <si>
    <t>AL KAMAL IMPORT OFFICE COMPANY LTD</t>
  </si>
  <si>
    <t>FAROUK AND MAMOUN TAMER &amp; PARTNERS</t>
  </si>
  <si>
    <t>Serbia</t>
  </si>
  <si>
    <t>PHOENIX PHARMA DOO BEOGRAD</t>
  </si>
  <si>
    <t>Singapore</t>
  </si>
  <si>
    <t>ZUELLIG PHARMA PTE LTD</t>
  </si>
  <si>
    <t>Slovenia</t>
  </si>
  <si>
    <t>FARMADENT TRGOVINA, PROIZVODNJA IN</t>
  </si>
  <si>
    <t>KEMOFARMACIJA, VELETRGOVINA ZA</t>
  </si>
  <si>
    <t>SALUS, VELETRGOVINA, DRUZBA ZA</t>
  </si>
  <si>
    <t>Turkey</t>
  </si>
  <si>
    <t>TURK ECZACILARI BIRLIGI</t>
  </si>
  <si>
    <t>United Arab Emirates</t>
  </si>
  <si>
    <t>United Kingdom</t>
  </si>
  <si>
    <t>United States of America</t>
  </si>
  <si>
    <t>PARTNERSHIP FOR SUPPLY CHAIN</t>
  </si>
  <si>
    <t>COLOMBO-01</t>
  </si>
  <si>
    <t>COLUMBO 1</t>
  </si>
  <si>
    <t>MADRID</t>
  </si>
  <si>
    <t>BRUSSELS</t>
  </si>
  <si>
    <t>QUEENBOROUGH</t>
  </si>
  <si>
    <t>CASTLEBAR</t>
  </si>
  <si>
    <t>Goma</t>
  </si>
  <si>
    <t>NOUAKCHOTT</t>
  </si>
  <si>
    <t>DILI</t>
  </si>
  <si>
    <t>FUNCHAL</t>
  </si>
  <si>
    <t>LUANDA</t>
  </si>
  <si>
    <t>SAINT PETERSBURG</t>
  </si>
  <si>
    <t>Bad Homburg</t>
  </si>
  <si>
    <t>HALDEN</t>
  </si>
  <si>
    <t>BRENTFORD MIDDX</t>
  </si>
  <si>
    <t>Liscate (MI)</t>
  </si>
  <si>
    <t>OXFORDSHIRE</t>
  </si>
  <si>
    <t>NAIROBI</t>
  </si>
  <si>
    <t>ALGER</t>
  </si>
  <si>
    <t>BAMAKO</t>
  </si>
  <si>
    <t>FREETOWN</t>
  </si>
  <si>
    <t>TBILISI</t>
  </si>
  <si>
    <t>MONROVIA</t>
  </si>
  <si>
    <t>GEORGETOWN</t>
  </si>
  <si>
    <t>MEHE</t>
  </si>
  <si>
    <t>LOME</t>
  </si>
  <si>
    <t xml:space="preserve"> ALMATY</t>
  </si>
  <si>
    <t>CAIRO</t>
  </si>
  <si>
    <t>HARARE</t>
  </si>
  <si>
    <t>YANGON</t>
  </si>
  <si>
    <t>DERBYSHIRE</t>
  </si>
  <si>
    <t>RIYADH</t>
  </si>
  <si>
    <t>FUKUI</t>
  </si>
  <si>
    <t>MOSTAR</t>
  </si>
  <si>
    <t>SHYMKENT</t>
  </si>
  <si>
    <t>KAMPALA</t>
  </si>
  <si>
    <t>KYIV</t>
  </si>
  <si>
    <t>DAR-ES-SALAAM TANZANIA</t>
  </si>
  <si>
    <t>BREDA</t>
  </si>
  <si>
    <t>SCHIPHOL</t>
  </si>
  <si>
    <t>FÉDÉRATION INTERNATIONALE DES SOCIÉ</t>
  </si>
  <si>
    <t>BANGUI</t>
  </si>
  <si>
    <t>ISLAMABAD FEDERAL</t>
  </si>
  <si>
    <t>DUBAI</t>
  </si>
  <si>
    <t>SHYMKET</t>
  </si>
  <si>
    <t>TEHRAN</t>
  </si>
  <si>
    <t>BAKU</t>
  </si>
  <si>
    <t>SVETA NEDELJA</t>
  </si>
  <si>
    <t>AMMAN</t>
  </si>
  <si>
    <t>BAUGY</t>
  </si>
  <si>
    <t>KABUL</t>
  </si>
  <si>
    <t>BRAZZAVILLE</t>
  </si>
  <si>
    <t>MPPD</t>
  </si>
  <si>
    <t>KIGALI</t>
  </si>
  <si>
    <t>UNFPA</t>
  </si>
  <si>
    <t>COPENHAGEN</t>
  </si>
  <si>
    <t>FONDS DES NATIONS UNIES POUR LA</t>
  </si>
  <si>
    <t>KINSHASA</t>
  </si>
  <si>
    <t xml:space="preserve">WIM BOSMAN LOG. SERV. BV 		</t>
  </si>
  <si>
    <t>S HEERENBERG</t>
  </si>
  <si>
    <t>NEMUNO VAISTINE UAB</t>
  </si>
  <si>
    <t>KAUNAS</t>
  </si>
  <si>
    <t>"MEDPHARCOM-CENTER"</t>
  </si>
  <si>
    <t>KIEV</t>
  </si>
  <si>
    <t>CROIX-ROUGE FRANCAISE AU CONGO</t>
  </si>
  <si>
    <t>MEDITECH SH.P.K.</t>
  </si>
  <si>
    <t>PRISHTINE</t>
  </si>
  <si>
    <t>CAMEG - TOGO</t>
  </si>
  <si>
    <t>STANDARD CHARTERED BANK (PAKISTAN)</t>
  </si>
  <si>
    <t>KARACHI 2</t>
  </si>
  <si>
    <t>CENTRAL BANK OF JORDAN</t>
  </si>
  <si>
    <t>MEDICAL SUPPLY DIVISION</t>
  </si>
  <si>
    <t>COLOMBO 10 WESTERN</t>
  </si>
  <si>
    <t>NATIONAL MEDICAL STORES</t>
  </si>
  <si>
    <t>ENTEBBE</t>
  </si>
  <si>
    <t>MINISTERIO DE SALUD PUBLICA</t>
  </si>
  <si>
    <t>QUITO</t>
  </si>
  <si>
    <t>SEOUL</t>
  </si>
  <si>
    <t>TIRANE</t>
  </si>
  <si>
    <t>ORAN</t>
  </si>
  <si>
    <t>YEREVAN</t>
  </si>
  <si>
    <t>ORANJESTAD, DUTCH WEST INDIES</t>
  </si>
  <si>
    <t>PO BOX SS-6288, NASSAU</t>
  </si>
  <si>
    <t>DHAKA</t>
  </si>
  <si>
    <t>ST. MICHAEL</t>
  </si>
  <si>
    <t>ST MICHAEL</t>
  </si>
  <si>
    <t>MINSK</t>
  </si>
  <si>
    <t>FACILITY PEMBROKE HM05,</t>
  </si>
  <si>
    <t>HAMILTON 5</t>
  </si>
  <si>
    <t>BERMUDA DV04</t>
  </si>
  <si>
    <t>SANTA CRUZ</t>
  </si>
  <si>
    <t>SARAJEVO</t>
  </si>
  <si>
    <t>GABORONE</t>
  </si>
  <si>
    <t>LILONGWE</t>
  </si>
  <si>
    <t>DNEPROPETROVSK</t>
  </si>
  <si>
    <t>MUMBAI</t>
  </si>
  <si>
    <t>OUAGADOUGOU</t>
  </si>
  <si>
    <t>GRAND CAYMAN</t>
  </si>
  <si>
    <t>BEJING</t>
  </si>
  <si>
    <t>BEIJING</t>
  </si>
  <si>
    <t>SHANGHAI</t>
  </si>
  <si>
    <t>GUANGZHOU</t>
  </si>
  <si>
    <t>SAN JOSE</t>
  </si>
  <si>
    <t>ZAGREB</t>
  </si>
  <si>
    <t>BOSILJKA TALAN</t>
  </si>
  <si>
    <t>NETHERLANDS ANTILLES</t>
  </si>
  <si>
    <t>NICOSIA</t>
  </si>
  <si>
    <t>ALEXANDRIA</t>
  </si>
  <si>
    <t>LA LIBERTAD</t>
  </si>
  <si>
    <t>SAN SALVADOR</t>
  </si>
  <si>
    <t>COPATLY, SAN SALVADOR</t>
  </si>
  <si>
    <t>ASMARA</t>
  </si>
  <si>
    <t>LAAGRI-HARJUMAA</t>
  </si>
  <si>
    <t xml:space="preserve"> ESCALQUENS</t>
  </si>
  <si>
    <t>ESCALQUENS</t>
  </si>
  <si>
    <t>LOUDEAC</t>
  </si>
  <si>
    <t>LIBOURNE</t>
  </si>
  <si>
    <t>MERIGNAC</t>
  </si>
  <si>
    <t>VILLENEUVE LA GARENNE</t>
  </si>
  <si>
    <t>VOUVRAY</t>
  </si>
  <si>
    <t>ALBY SUR CHERAN</t>
  </si>
  <si>
    <t>PARIS</t>
  </si>
  <si>
    <t>CASTRES</t>
  </si>
  <si>
    <t>GIEN</t>
  </si>
  <si>
    <t>CHATEAURENARD</t>
  </si>
  <si>
    <t>VERTOLAYE</t>
  </si>
  <si>
    <t>INGELHEIM</t>
  </si>
  <si>
    <t>REINBEK</t>
  </si>
  <si>
    <t>BREHNA</t>
  </si>
  <si>
    <t>FRANKFURT AM MAIN</t>
  </si>
  <si>
    <t>HAMBURG</t>
  </si>
  <si>
    <t>TEGUCIGALPA M.D.C.</t>
  </si>
  <si>
    <t>TEGUCIGALPA</t>
  </si>
  <si>
    <t>SAN PEDRO SULA</t>
  </si>
  <si>
    <t>WANCHAI</t>
  </si>
  <si>
    <t>BANGKOK</t>
  </si>
  <si>
    <t>BASEL AIRPORT</t>
  </si>
  <si>
    <t>PRATTELN</t>
  </si>
  <si>
    <t>PENANG</t>
  </si>
  <si>
    <t>BOISAR</t>
  </si>
  <si>
    <t>PUNJAB</t>
  </si>
  <si>
    <t>CHANDIGARH</t>
  </si>
  <si>
    <t>NEW DEHLI</t>
  </si>
  <si>
    <t>DUBLIN</t>
  </si>
  <si>
    <t>CAMPOVERDE DI APRILIA</t>
  </si>
  <si>
    <t>VENLO</t>
  </si>
  <si>
    <t>BNEI BRAK</t>
  </si>
  <si>
    <t>PAULLO</t>
  </si>
  <si>
    <t>MILANO</t>
  </si>
  <si>
    <t>MEDE (PV)</t>
  </si>
  <si>
    <t>VALLE SALIMBENE (PAVIA)</t>
  </si>
  <si>
    <t>BERTINORO</t>
  </si>
  <si>
    <t>KINGSTON</t>
  </si>
  <si>
    <t>OSAKA</t>
  </si>
  <si>
    <t>TOKYO</t>
  </si>
  <si>
    <t>KAWAGOE</t>
  </si>
  <si>
    <t>VILNIUS</t>
  </si>
  <si>
    <t>ALMATY</t>
  </si>
  <si>
    <t>MANAMAH</t>
  </si>
  <si>
    <t>MANAMA</t>
  </si>
  <si>
    <t>KUWAIT CITY</t>
  </si>
  <si>
    <t>SAFAT KUWAIT</t>
  </si>
  <si>
    <t>RIGA</t>
  </si>
  <si>
    <t>JELGAVA</t>
  </si>
  <si>
    <t>BEIRUT</t>
  </si>
  <si>
    <t>TRIPOLI</t>
  </si>
  <si>
    <t>BENGHAZI</t>
  </si>
  <si>
    <t>MARSA</t>
  </si>
  <si>
    <t>MAURITIUS</t>
  </si>
  <si>
    <t>LES SALINES - PORT LOUIS</t>
  </si>
  <si>
    <t>CHISINAU</t>
  </si>
  <si>
    <t>KISHINEV</t>
  </si>
  <si>
    <t>PODGORICA</t>
  </si>
  <si>
    <t>CASABLANCA 05</t>
  </si>
  <si>
    <t>CASABLANCA</t>
  </si>
  <si>
    <t>WINDHOEK</t>
  </si>
  <si>
    <t>ONGWEDIVA</t>
  </si>
  <si>
    <t>NETH ANTILLES</t>
  </si>
  <si>
    <t>MANAGUA</t>
  </si>
  <si>
    <t>PANAMA CITY</t>
  </si>
  <si>
    <t>ASUNCIÓN</t>
  </si>
  <si>
    <t>DOHA</t>
  </si>
  <si>
    <t>BRASOV - JUD BRASOV</t>
  </si>
  <si>
    <t>CHITILA, ILFOV</t>
  </si>
  <si>
    <t>BUCHAREST</t>
  </si>
  <si>
    <t>BALOTESTI</t>
  </si>
  <si>
    <t>BUCURESTI</t>
  </si>
  <si>
    <t>CHITILA</t>
  </si>
  <si>
    <t>PITESTI</t>
  </si>
  <si>
    <t>SIBIU TOWN</t>
  </si>
  <si>
    <t>SIBIU</t>
  </si>
  <si>
    <t>JEDDAH</t>
  </si>
  <si>
    <t>DAKAR-HANN</t>
  </si>
  <si>
    <t>BELGRADE</t>
  </si>
  <si>
    <t>SINGAPORE</t>
  </si>
  <si>
    <t>HO CHI MINH CITY</t>
  </si>
  <si>
    <t>MARIBOR</t>
  </si>
  <si>
    <t>LJUBLJANA</t>
  </si>
  <si>
    <t>SKOPJE</t>
  </si>
  <si>
    <t>BLANTYRE</t>
  </si>
  <si>
    <t>JOHANNESBURG</t>
  </si>
  <si>
    <t>COLOMBO</t>
  </si>
  <si>
    <t>WADI KABIR</t>
  </si>
  <si>
    <t>GENEVE</t>
  </si>
  <si>
    <t>FRIBURG</t>
  </si>
  <si>
    <t>DAMASCUS</t>
  </si>
  <si>
    <t>DAR ES SALAAM</t>
  </si>
  <si>
    <t>ZWOLLE</t>
  </si>
  <si>
    <t>GUATEMALA CITY</t>
  </si>
  <si>
    <t>REGENSBURG</t>
  </si>
  <si>
    <t>SAINT REMY SUR AVRE</t>
  </si>
  <si>
    <t>WOERDEN</t>
  </si>
  <si>
    <t>RABAT</t>
  </si>
  <si>
    <t>AMSTERDAM</t>
  </si>
  <si>
    <t>PORT OF SPAIN</t>
  </si>
  <si>
    <t>TRINCITY</t>
  </si>
  <si>
    <t>TRINIDAD AND TOBAGO</t>
  </si>
  <si>
    <t>ANKARA</t>
  </si>
  <si>
    <t>KIEV-SVYATOSHINSKY DISTRICT</t>
  </si>
  <si>
    <t>DONETSK</t>
  </si>
  <si>
    <t>ABU DHABI</t>
  </si>
  <si>
    <t>BERKSHIRE</t>
  </si>
  <si>
    <t>LONDON</t>
  </si>
  <si>
    <t>BRONX</t>
  </si>
  <si>
    <t>FREDERICK</t>
  </si>
  <si>
    <t>WASHINGTON</t>
  </si>
  <si>
    <t>TASHKENT</t>
  </si>
  <si>
    <t>LUSAKA</t>
  </si>
  <si>
    <t>RIO DE JANEIRO</t>
  </si>
  <si>
    <t>ARLINGTON</t>
  </si>
  <si>
    <t>HANOI</t>
  </si>
  <si>
    <t>SANA'A</t>
  </si>
  <si>
    <t>SERREKUNDA</t>
  </si>
  <si>
    <t>EL MENZAH</t>
  </si>
  <si>
    <t>TUNIS</t>
  </si>
  <si>
    <t>ABUJA</t>
  </si>
  <si>
    <t>MAPUTO</t>
  </si>
  <si>
    <t>ABIDJAN</t>
  </si>
  <si>
    <t>LIBREVILLE</t>
  </si>
  <si>
    <t>YAOUNDE</t>
  </si>
  <si>
    <t>KØBENHAVN</t>
  </si>
  <si>
    <t>COORDINATION INTERSECTORIELLE</t>
  </si>
  <si>
    <t>NIAMEY</t>
  </si>
  <si>
    <t>ZAMBIA MINISTRY OF HEALTH</t>
  </si>
  <si>
    <t>ACCRA</t>
  </si>
  <si>
    <t>BISSAU</t>
  </si>
  <si>
    <t>CONAKRY</t>
  </si>
  <si>
    <t>TABARRE</t>
  </si>
  <si>
    <t>BRAZAVILLE</t>
  </si>
  <si>
    <t>TBILSI</t>
  </si>
  <si>
    <t>C/O FUEL AFRICA LOGISTICS</t>
  </si>
  <si>
    <t>TEMA</t>
  </si>
  <si>
    <t>PRAIA</t>
  </si>
  <si>
    <t>MORONI</t>
  </si>
  <si>
    <t>BASOKO</t>
  </si>
  <si>
    <t>CENTRAL DE MEDICAMENTS</t>
  </si>
  <si>
    <t>CABORONE</t>
  </si>
  <si>
    <t>OUAGOUDOUGOU</t>
  </si>
  <si>
    <t>BUJUMBARA</t>
  </si>
  <si>
    <t>PHNOM PENH</t>
  </si>
  <si>
    <t>YAOUNDÉ</t>
  </si>
  <si>
    <t>DAKAR</t>
  </si>
  <si>
    <t>COTONOU</t>
  </si>
  <si>
    <t>THE FUEL LOGISTICS GROUP (PTY) LTD</t>
  </si>
  <si>
    <t>ROOIHUISKRAAL, CENTURION</t>
  </si>
  <si>
    <t>KATHMANDU</t>
  </si>
  <si>
    <t>USAID</t>
  </si>
  <si>
    <t>VIENTIANE</t>
  </si>
  <si>
    <t>JUBA</t>
  </si>
  <si>
    <t>TIRANA</t>
  </si>
  <si>
    <t>SAO TOME AND PRINCIPE</t>
  </si>
  <si>
    <t>KHARTOUM</t>
  </si>
  <si>
    <t>PORT AU PRINCE</t>
  </si>
  <si>
    <t>MALABO</t>
  </si>
  <si>
    <t>ANTIGUO CUSCATLAN</t>
  </si>
  <si>
    <t>DJIBOUTI</t>
  </si>
  <si>
    <t>DUSHANBE</t>
  </si>
  <si>
    <t>N'DJAMENA</t>
  </si>
  <si>
    <t>NASSAU</t>
  </si>
  <si>
    <t>LIVERPOOL</t>
  </si>
  <si>
    <t>KARACHI</t>
  </si>
  <si>
    <t>MAFETENG</t>
  </si>
  <si>
    <t>TAGUIG CITY</t>
  </si>
  <si>
    <t>JAKARTA</t>
  </si>
  <si>
    <t>BUENOS AIRES</t>
  </si>
  <si>
    <t>CARACAS</t>
  </si>
  <si>
    <t>MARACAY</t>
  </si>
  <si>
    <t>MAHARASHTRA</t>
  </si>
  <si>
    <t xml:space="preserve"> QUITO</t>
  </si>
  <si>
    <t>GUAYAQUIL</t>
  </si>
  <si>
    <t>Mumbai</t>
  </si>
  <si>
    <t>Thane</t>
  </si>
  <si>
    <t>Vadodara</t>
  </si>
  <si>
    <t>SURESNES</t>
  </si>
  <si>
    <t>Gujarat</t>
  </si>
  <si>
    <t>Bangalore</t>
  </si>
  <si>
    <t>Hyderabad</t>
  </si>
  <si>
    <t xml:space="preserve"> PETACH TIKVA</t>
  </si>
  <si>
    <t>Nagar</t>
  </si>
  <si>
    <t>BARODA</t>
  </si>
  <si>
    <t>HALOL</t>
  </si>
  <si>
    <t>LUGANO</t>
  </si>
  <si>
    <t>L'AIGLE CEDEX - FRANCE</t>
  </si>
  <si>
    <t>SALT</t>
  </si>
  <si>
    <t>EL PASO</t>
  </si>
  <si>
    <t>WHIPPANY</t>
  </si>
  <si>
    <t>LA CHAUX-DE-FONDS</t>
  </si>
  <si>
    <t>ELVERUM</t>
  </si>
  <si>
    <t>GUETAMALA</t>
  </si>
  <si>
    <t>SINGEN</t>
  </si>
  <si>
    <t>MEXICO</t>
  </si>
  <si>
    <t>GENEVA</t>
  </si>
  <si>
    <t>Tokyo</t>
  </si>
  <si>
    <t>MAWATHA</t>
  </si>
  <si>
    <t>BUZAU</t>
  </si>
  <si>
    <t>Barceloneta</t>
  </si>
  <si>
    <t>JAYUYA</t>
  </si>
  <si>
    <t>NORTH CHICAGO</t>
  </si>
  <si>
    <t>Cork</t>
  </si>
  <si>
    <t>GUATEMALA, C.A.</t>
  </si>
  <si>
    <t>SAINT-LAURENT</t>
  </si>
  <si>
    <t>Santiago</t>
  </si>
  <si>
    <t>Anapolis</t>
  </si>
  <si>
    <t>Madrid</t>
  </si>
  <si>
    <t>Maidenhead</t>
  </si>
  <si>
    <t>Solna</t>
  </si>
  <si>
    <t>København</t>
  </si>
  <si>
    <t>Hoofddorp</t>
  </si>
  <si>
    <t>Wavre</t>
  </si>
  <si>
    <t>Wien</t>
  </si>
  <si>
    <t>Budapest</t>
  </si>
  <si>
    <t>Baar</t>
  </si>
  <si>
    <t>Warszawa</t>
  </si>
  <si>
    <t>Moscow</t>
  </si>
  <si>
    <t>Campoverde di Aprilla</t>
  </si>
  <si>
    <t>Amadora</t>
  </si>
  <si>
    <t>Alimos</t>
  </si>
  <si>
    <t>DELEG COYOACAN</t>
  </si>
  <si>
    <t>Wiesbaden</t>
  </si>
  <si>
    <t>Bogota</t>
  </si>
  <si>
    <t>Quito</t>
  </si>
  <si>
    <t>LIMA</t>
  </si>
  <si>
    <t>Montevideo</t>
  </si>
  <si>
    <t>Zwolle</t>
  </si>
  <si>
    <t>Istanbul</t>
  </si>
  <si>
    <t>IC6153</t>
  </si>
  <si>
    <t>AbbVie Operations Singapore Pte Ltd</t>
  </si>
  <si>
    <t>HONG KONG</t>
  </si>
  <si>
    <t>TAIPEI CITY</t>
  </si>
  <si>
    <t>QUARRYVALE</t>
  </si>
  <si>
    <t>Shah Alam Selangor DE</t>
  </si>
  <si>
    <t>Constantia Kloof</t>
  </si>
  <si>
    <t>Cairo</t>
  </si>
  <si>
    <t>Shanghai</t>
  </si>
  <si>
    <t>Seoul</t>
  </si>
  <si>
    <t>Mascot</t>
  </si>
  <si>
    <t>Wellington</t>
  </si>
  <si>
    <t>Santo Domingo</t>
  </si>
  <si>
    <t>Espoo</t>
  </si>
  <si>
    <t>Fornebu</t>
  </si>
  <si>
    <t>Rungis Cedex</t>
  </si>
  <si>
    <t>Sofia</t>
  </si>
  <si>
    <t>IC6583</t>
  </si>
  <si>
    <t>ABBVIE S.R.L.</t>
  </si>
  <si>
    <t>Bratislava Ruzinov</t>
  </si>
  <si>
    <t>Praha 6</t>
  </si>
  <si>
    <t>P6000</t>
  </si>
  <si>
    <t>Regensburg</t>
  </si>
  <si>
    <t>P6203</t>
  </si>
  <si>
    <t>P6300</t>
  </si>
  <si>
    <t>Guatemala</t>
  </si>
  <si>
    <t>P8125</t>
  </si>
  <si>
    <t>City</t>
  </si>
  <si>
    <t>Ecuador</t>
  </si>
  <si>
    <t>Egypt</t>
  </si>
  <si>
    <t>Algeria</t>
  </si>
  <si>
    <t>Kazakhstan</t>
  </si>
  <si>
    <t>United States</t>
  </si>
  <si>
    <t>People’s Republic of China</t>
  </si>
  <si>
    <t>Malawi</t>
  </si>
  <si>
    <t>Argentina</t>
  </si>
  <si>
    <t>Venezuela</t>
  </si>
  <si>
    <t>Morocco</t>
  </si>
  <si>
    <t>Moldova, Republic Of</t>
  </si>
  <si>
    <t>Sri Lanka</t>
  </si>
  <si>
    <t>Senegal</t>
  </si>
  <si>
    <t>Bangladesh</t>
  </si>
  <si>
    <t>Ukraine</t>
  </si>
  <si>
    <t>Tunisia</t>
  </si>
  <si>
    <t>Bermuda</t>
  </si>
  <si>
    <t>Switzerland</t>
  </si>
  <si>
    <t>Botswana</t>
  </si>
  <si>
    <t>Cayman Islands</t>
  </si>
  <si>
    <t>Zimbabwe</t>
  </si>
  <si>
    <t>Uganda</t>
  </si>
  <si>
    <t>Rwanda</t>
  </si>
  <si>
    <t>Jamaica</t>
  </si>
  <si>
    <t>El Salvador</t>
  </si>
  <si>
    <t>Angola</t>
  </si>
  <si>
    <t>Nicaragua</t>
  </si>
  <si>
    <t>Mexico</t>
  </si>
  <si>
    <t>Belarus</t>
  </si>
  <si>
    <t>Bosnia And Herzegovina</t>
  </si>
  <si>
    <t>Kenya</t>
  </si>
  <si>
    <t>Aruba</t>
  </si>
  <si>
    <t>Burkina Faso</t>
  </si>
  <si>
    <t>Panama</t>
  </si>
  <si>
    <t>Bahamas</t>
  </si>
  <si>
    <t>Costa Rica</t>
  </si>
  <si>
    <t>Honduras</t>
  </si>
  <si>
    <t>Macedonia, The Former Yugoslav Republic Of</t>
  </si>
  <si>
    <t>Barbados</t>
  </si>
  <si>
    <t>Philippines, Republic of the</t>
  </si>
  <si>
    <t>Georgia</t>
  </si>
  <si>
    <t>Albania</t>
  </si>
  <si>
    <t>Trinidad And Tobago</t>
  </si>
  <si>
    <t>Libyan Arab Jamahiriya</t>
  </si>
  <si>
    <t>Armenia</t>
  </si>
  <si>
    <t>Croatia (local name: Hrvatska)</t>
  </si>
  <si>
    <t>Cyprus</t>
  </si>
  <si>
    <t>NETHERLANDS</t>
  </si>
  <si>
    <t>CUSTOMER</t>
  </si>
  <si>
    <t>NAME</t>
  </si>
  <si>
    <t>CITY</t>
  </si>
  <si>
    <t>COUNTRY</t>
  </si>
  <si>
    <t xml:space="preserve"> East Timor</t>
  </si>
  <si>
    <t>Spain</t>
  </si>
  <si>
    <t>Congo (Democratic Republic)</t>
  </si>
  <si>
    <t>Mauritania</t>
  </si>
  <si>
    <t>Mali</t>
  </si>
  <si>
    <t>Sierra Leone</t>
  </si>
  <si>
    <t>Liberia</t>
  </si>
  <si>
    <t>Guyana</t>
  </si>
  <si>
    <t>Seychelles</t>
  </si>
  <si>
    <t>Togo</t>
  </si>
  <si>
    <t>Myanmar</t>
  </si>
  <si>
    <t>Tanzania, United Republic Of</t>
  </si>
  <si>
    <t>Central African Republic</t>
  </si>
  <si>
    <t>Iran (Islamic Republic Of)</t>
  </si>
  <si>
    <t>Azerbaijan</t>
  </si>
  <si>
    <t>Afghanistan</t>
  </si>
  <si>
    <t>Congo (Republic)</t>
  </si>
  <si>
    <t>Korea, Republic Of</t>
  </si>
  <si>
    <t>Bolivia</t>
  </si>
  <si>
    <t>Eritrea</t>
  </si>
  <si>
    <t>Uruguay</t>
  </si>
  <si>
    <t>South Africa</t>
  </si>
  <si>
    <t>Syrian Arab Republic</t>
  </si>
  <si>
    <t>Uzbekistan</t>
  </si>
  <si>
    <t>Zambia</t>
  </si>
  <si>
    <t>Malaysia</t>
  </si>
  <si>
    <t>Thailand</t>
  </si>
  <si>
    <t>Viet Nam</t>
  </si>
  <si>
    <t>Brazil</t>
  </si>
  <si>
    <t>Yemen</t>
  </si>
  <si>
    <t>Gambia</t>
  </si>
  <si>
    <t>Niger</t>
  </si>
  <si>
    <t>Sudan</t>
  </si>
  <si>
    <t>Cote D’Ivoire</t>
  </si>
  <si>
    <t>Sao Tome And Principe</t>
  </si>
  <si>
    <t>Guinea</t>
  </si>
  <si>
    <t>Ghana</t>
  </si>
  <si>
    <t>Mozambique</t>
  </si>
  <si>
    <t>Cameroon</t>
  </si>
  <si>
    <t>Lao People’s Democratic Republic</t>
  </si>
  <si>
    <t>Gabon</t>
  </si>
  <si>
    <t>Nepal</t>
  </si>
  <si>
    <t>Nigeria</t>
  </si>
  <si>
    <t>Djibouti</t>
  </si>
  <si>
    <t>Chad</t>
  </si>
  <si>
    <t>Cambodia</t>
  </si>
  <si>
    <t>Haiti</t>
  </si>
  <si>
    <t>Guinea-Bissau</t>
  </si>
  <si>
    <t>Cape Verde</t>
  </si>
  <si>
    <t>Equatorial Guinea</t>
  </si>
  <si>
    <t>Burundi</t>
  </si>
  <si>
    <t>Tajikistan</t>
  </si>
  <si>
    <t>Comoros</t>
  </si>
  <si>
    <t>Benin</t>
  </si>
  <si>
    <t>Puerto Rico</t>
  </si>
  <si>
    <t>Canada</t>
  </si>
  <si>
    <t>Chile</t>
  </si>
  <si>
    <t>Sweden</t>
  </si>
  <si>
    <t>Austria</t>
  </si>
  <si>
    <t>Hungary</t>
  </si>
  <si>
    <t>Poland</t>
  </si>
  <si>
    <t>Russian Federation</t>
  </si>
  <si>
    <t>Greece</t>
  </si>
  <si>
    <t>Colombia</t>
  </si>
  <si>
    <t>Peru</t>
  </si>
  <si>
    <t>Taiwan</t>
  </si>
  <si>
    <t>Australia</t>
  </si>
  <si>
    <t>New Zealand</t>
  </si>
  <si>
    <t>Dominican Republic</t>
  </si>
  <si>
    <t>Finland</t>
  </si>
  <si>
    <t>Bulgaria</t>
  </si>
  <si>
    <t>Slovakia (Slovak Republic)</t>
  </si>
  <si>
    <t>Czech Republic</t>
  </si>
  <si>
    <t>Kosovo</t>
  </si>
  <si>
    <t>St. Maarten</t>
  </si>
  <si>
    <t>M/S ABBOTT INDIA LIMITED</t>
  </si>
  <si>
    <t>MUMBAI MAHARASHTRA</t>
  </si>
  <si>
    <t xml:space="preserve">              PHARAON HEALTHCARE AFRICA FZ-LLC</t>
  </si>
  <si>
    <t>Utd.Arab Emir.</t>
  </si>
  <si>
    <t xml:space="preserve"> COMUNITA DI S. EGIDIO</t>
  </si>
  <si>
    <t xml:space="preserve">ROMA </t>
  </si>
  <si>
    <t xml:space="preserve"> CITY PHARMACY CO</t>
  </si>
  <si>
    <t>vUtd.Arab Emir.</t>
  </si>
  <si>
    <t xml:space="preserve">    INB SINA PHARMACY LLC.          </t>
  </si>
  <si>
    <t>Ü INTEREST MEDICAL</t>
  </si>
  <si>
    <t>TALLINN</t>
  </si>
  <si>
    <t>TAKEDA ITALIA SPA</t>
  </si>
  <si>
    <t>ROMA</t>
  </si>
  <si>
    <t>Bedrag</t>
  </si>
  <si>
    <t>4/5/2015</t>
  </si>
  <si>
    <t>EL-GOMHOURIA FOR TRADING PHARMACEUTICALS, CHEMICALS &amp; MEDICAL APPLIANCES</t>
  </si>
  <si>
    <t>159</t>
  </si>
  <si>
    <t>104010-71</t>
  </si>
  <si>
    <t>30/4/2015</t>
  </si>
  <si>
    <t>158</t>
  </si>
  <si>
    <t>16/3/2015</t>
  </si>
  <si>
    <t>157</t>
  </si>
  <si>
    <t>2/3/2015</t>
  </si>
  <si>
    <t>Suspension</t>
  </si>
  <si>
    <t>156</t>
  </si>
  <si>
    <t>155</t>
  </si>
  <si>
    <t>'Hercegovinalijek' d.o.o. Mostar</t>
  </si>
  <si>
    <t>26411003937</t>
  </si>
  <si>
    <t>600900075407</t>
  </si>
  <si>
    <t>0</t>
  </si>
  <si>
    <t>OKTAL PHARMA d.o.o.</t>
  </si>
  <si>
    <t>J237412007</t>
  </si>
  <si>
    <t>C29392</t>
  </si>
  <si>
    <t>MEDIKA, d.d.</t>
  </si>
  <si>
    <t>201991229</t>
  </si>
  <si>
    <t>202203123</t>
  </si>
  <si>
    <t>CALYX CHEMICALS &amp; PHARMACEUTICALS</t>
  </si>
  <si>
    <t>ARAB PHARMACEUTICAL MANUFACTURING</t>
  </si>
  <si>
    <r>
      <t>Mededelingen</t>
    </r>
    <r>
      <rPr>
        <sz val="10"/>
        <color theme="1"/>
        <rFont val="Calibri"/>
        <family val="2"/>
        <scheme val="minor"/>
      </rPr>
      <t xml:space="preserve"> -</t>
    </r>
  </si>
  <si>
    <t>AGENCIA LATINOAMERICANA DE COMERCIO</t>
  </si>
  <si>
    <t>PANAMA</t>
  </si>
  <si>
    <t>AVROMED COMPANY</t>
  </si>
  <si>
    <t>WADI EL NEEL BENTA</t>
  </si>
  <si>
    <t>ABU DHABI HEALTH SERVICES COMPANY “SEHA”</t>
  </si>
  <si>
    <t>MAFRAQ HOSPITAL</t>
  </si>
  <si>
    <t>ASR PROPERTY FUND N.V.</t>
  </si>
  <si>
    <t>UTRECHT</t>
  </si>
  <si>
    <t>The Netherlands</t>
  </si>
  <si>
    <t>PHARMACEUTICAL FUND</t>
  </si>
  <si>
    <t>ADDIS ABABA</t>
  </si>
  <si>
    <t>MAGNUM MEDICAL SIA</t>
  </si>
  <si>
    <t>AL AIN - UAE</t>
  </si>
  <si>
    <t>AL AIN</t>
  </si>
  <si>
    <t>THE STATE COMPANY FOR MARKETING</t>
  </si>
  <si>
    <t>BAGHDAD</t>
  </si>
  <si>
    <t>Iraq</t>
  </si>
  <si>
    <t>HOPITAL CENTRAL DE L'ARMEE</t>
  </si>
  <si>
    <t>ALGIERS</t>
  </si>
  <si>
    <t>TOO AMIR I D</t>
  </si>
  <si>
    <t>TARAZ</t>
  </si>
  <si>
    <t>BGP PRODUCTS OPERATIONS GMBH</t>
  </si>
  <si>
    <t>ALLSCHWIL</t>
  </si>
  <si>
    <t>QUIFATEX S.A.</t>
  </si>
  <si>
    <t>MEDIKA INTERNACIONAL D.O.O. SKOPJE</t>
  </si>
  <si>
    <t>Macedonia</t>
  </si>
  <si>
    <t>EVD UAB</t>
  </si>
  <si>
    <t>TOO ORBITA MEDIC</t>
  </si>
  <si>
    <t>AZERIMED LLC</t>
  </si>
  <si>
    <t>JOHNS HOPKINS RESEARCH PROJECT</t>
  </si>
  <si>
    <t>ZOETIS BELGUIM SA</t>
  </si>
  <si>
    <t>LOUVAIN-LA-NEUVE</t>
  </si>
  <si>
    <t>STATE PHARMA CORP</t>
  </si>
  <si>
    <t>COLOMBO 01</t>
  </si>
  <si>
    <t>GLOBAL FUND TO FIGHT AIDS,</t>
  </si>
  <si>
    <t>ALFRESA PHARMA CORPORATIONS</t>
  </si>
  <si>
    <t>V.J.SALOMONE</t>
  </si>
  <si>
    <t>MALTA</t>
  </si>
  <si>
    <t>SYNEX CONSULTING LTD</t>
  </si>
  <si>
    <t>South Korea</t>
  </si>
  <si>
    <t>INRESA ARZNEIMITTEL GMBH</t>
  </si>
  <si>
    <t>FREIBURG</t>
  </si>
  <si>
    <t>ROTHAUS APOTHEKE</t>
  </si>
  <si>
    <t>MEILEN</t>
  </si>
  <si>
    <t>INS. HONDURENO DEL SEGURO SOCIAL</t>
  </si>
  <si>
    <t>MEDICA LINEA PHARM D.O.O.</t>
  </si>
  <si>
    <t>CHEMONICS INTERNATIONAL, INC.</t>
  </si>
  <si>
    <t>USA</t>
  </si>
  <si>
    <t>CROWN AGENTS LTD</t>
  </si>
  <si>
    <t>SUTTON, SURREY</t>
  </si>
  <si>
    <t>UNDP</t>
  </si>
  <si>
    <t>UNITED NATIONS DEVELOPMENT</t>
  </si>
  <si>
    <t>NEWCASTLE UPON TYNE</t>
  </si>
  <si>
    <t>AO "Р-ФАРМ"</t>
  </si>
  <si>
    <t>МОСКВА</t>
  </si>
  <si>
    <t>Russian Fed.</t>
  </si>
  <si>
    <t>SIA “SAULES APTIEKA”</t>
  </si>
  <si>
    <t>CURACAO</t>
  </si>
  <si>
    <t>WHO/GSC/PL</t>
  </si>
  <si>
    <t>63000 CYBERJAYA</t>
  </si>
  <si>
    <t>CHEMONICS INTERNATIONAL, INC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</si>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</sst>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0_);[Red]\(0\)"/>
    <numFmt numFmtId="166" formatCode="dd\ mmm\ yyyy"/>
  </numFmts>
  <fonts count="30">
    <font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scheme val="minor"/>
    </font>
    <font>
      <sz val="11"/>
      <name val="Calibri"/>
      <scheme val="minor"/>
    </font>
    <font>
      <sz val="10"/>
      <name val="Arial"/>
    </font>
  </fonts>
  <fills count="3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3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6" applyNumberFormat="0" applyAlignment="0" applyProtection="0"/>
    <xf numFmtId="0" fontId="11" fillId="9" borderId="7" applyNumberFormat="0" applyAlignment="0" applyProtection="0"/>
    <xf numFmtId="0" fontId="12" fillId="9" borderId="6" applyNumberFormat="0" applyAlignment="0" applyProtection="0"/>
    <xf numFmtId="0" fontId="13" fillId="0" borderId="8" applyNumberFormat="0" applyFill="0" applyAlignment="0" applyProtection="0"/>
    <xf numFmtId="0" fontId="14" fillId="10" borderId="9" applyNumberFormat="0" applyAlignment="0" applyProtection="0"/>
    <xf numFmtId="0" fontId="15" fillId="0" borderId="0" applyNumberFormat="0" applyFill="0" applyBorder="0" applyAlignment="0" applyProtection="0"/>
    <xf numFmtId="0" fontId="2" fillId="11" borderId="10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8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8" fillId="35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" fillId="0" borderId="0"/>
    <xf numFmtId="0" fontId="29" fillId="0" borderId="0"/>
  </cellStyleXfs>
  <cellXfs count="92">
    <xf numFmtId="0" fontId="0" fillId="0" borderId="0" xfId="0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1" fillId="4" borderId="1" xfId="0" applyFont="1" applyFill="1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14" fontId="0" fillId="2" borderId="2" xfId="0" applyNumberFormat="1" applyFill="1" applyBorder="1" applyAlignment="1" applyProtection="1"/>
    <xf numFmtId="0" fontId="0" fillId="2" borderId="0" xfId="0" applyFill="1" applyProtection="1"/>
    <xf numFmtId="164" fontId="0" fillId="0" borderId="0" xfId="0" applyNumberFormat="1" applyAlignment="1">
      <alignment horizontal="center"/>
    </xf>
    <xf numFmtId="164" fontId="14" fillId="10" borderId="9" xfId="13" applyNumberFormat="1" applyAlignment="1">
      <alignment horizontal="center"/>
    </xf>
    <xf numFmtId="0" fontId="0" fillId="0" borderId="12" xfId="0" applyBorder="1" applyAlignment="1">
      <alignment horizontal="center"/>
    </xf>
    <xf numFmtId="0" fontId="14" fillId="10" borderId="9" xfId="13" applyAlignment="1">
      <alignment horizontal="center"/>
    </xf>
    <xf numFmtId="0" fontId="0" fillId="0" borderId="0" xfId="0" applyAlignment="1">
      <alignment horizontal="center"/>
    </xf>
    <xf numFmtId="164" fontId="0" fillId="0" borderId="12" xfId="0" applyNumberFormat="1" applyBorder="1" applyAlignment="1">
      <alignment horizontal="center"/>
    </xf>
    <xf numFmtId="40" fontId="14" fillId="10" borderId="9" xfId="13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0" fontId="17" fillId="3" borderId="12" xfId="0" applyNumberFormat="1" applyFont="1" applyFill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40" fontId="17" fillId="0" borderId="0" xfId="0" applyNumberFormat="1" applyFont="1" applyAlignment="1">
      <alignment horizontal="center"/>
    </xf>
    <xf numFmtId="165" fontId="14" fillId="10" borderId="9" xfId="13" applyNumberFormat="1" applyAlignment="1">
      <alignment horizontal="center"/>
    </xf>
    <xf numFmtId="40" fontId="0" fillId="0" borderId="0" xfId="0" applyNumberFormat="1"/>
    <xf numFmtId="40" fontId="20" fillId="3" borderId="15" xfId="0" applyNumberFormat="1" applyFont="1" applyFill="1" applyBorder="1"/>
    <xf numFmtId="40" fontId="20" fillId="3" borderId="17" xfId="0" applyNumberFormat="1" applyFont="1" applyFill="1" applyBorder="1"/>
    <xf numFmtId="40" fontId="20" fillId="3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0" applyNumberFormat="1" applyFont="1"/>
    <xf numFmtId="0" fontId="14" fillId="10" borderId="19" xfId="13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14" fillId="10" borderId="21" xfId="13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0" fontId="14" fillId="10" borderId="12" xfId="13" applyBorder="1" applyAlignment="1">
      <alignment horizontal="center"/>
    </xf>
    <xf numFmtId="0" fontId="20" fillId="3" borderId="23" xfId="0" applyFont="1" applyFill="1" applyBorder="1" applyAlignment="1">
      <alignment horizontal="center"/>
    </xf>
    <xf numFmtId="40" fontId="0" fillId="0" borderId="0" xfId="0" applyNumberFormat="1" applyProtection="1">
      <protection locked="0"/>
    </xf>
    <xf numFmtId="0" fontId="0" fillId="0" borderId="0" xfId="0" applyNumberFormat="1" applyFont="1"/>
    <xf numFmtId="0" fontId="22" fillId="36" borderId="12" xfId="44" applyFont="1" applyFill="1" applyBorder="1"/>
    <xf numFmtId="0" fontId="22" fillId="36" borderId="12" xfId="44" applyFont="1" applyFill="1" applyBorder="1"/>
    <xf numFmtId="0" fontId="22" fillId="36" borderId="12" xfId="44" applyFont="1" applyFill="1" applyBorder="1"/>
    <xf numFmtId="0" fontId="0" fillId="0" borderId="0" xfId="0" applyNumberFormat="1"/>
    <xf numFmtId="0" fontId="20" fillId="0" borderId="24" xfId="0" pivotButton="1" applyFont="1" applyBorder="1"/>
    <xf numFmtId="40" fontId="20" fillId="3" borderId="26" xfId="0" applyNumberFormat="1" applyFont="1" applyFill="1" applyBorder="1"/>
    <xf numFmtId="0" fontId="20" fillId="0" borderId="13" xfId="0" pivotButton="1" applyFont="1" applyBorder="1"/>
    <xf numFmtId="0" fontId="20" fillId="0" borderId="17" xfId="0" applyFont="1" applyBorder="1"/>
    <xf numFmtId="0" fontId="23" fillId="0" borderId="0" xfId="0" applyFont="1" applyAlignment="1">
      <alignment horizontal="center" vertical="top" wrapText="1"/>
    </xf>
    <xf numFmtId="49" fontId="23" fillId="0" borderId="0" xfId="0" applyNumberFormat="1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NumberFormat="1" applyFont="1" applyAlignment="1">
      <alignment horizontal="left" vertical="top" wrapText="1"/>
    </xf>
    <xf numFmtId="49" fontId="24" fillId="0" borderId="0" xfId="0" applyNumberFormat="1" applyFont="1" applyAlignment="1">
      <alignment horizontal="left" vertical="top" wrapText="1"/>
    </xf>
    <xf numFmtId="0" fontId="24" fillId="0" borderId="0" xfId="0" applyFont="1" applyAlignment="1">
      <alignment horizontal="right" vertical="top" wrapText="1"/>
    </xf>
    <xf numFmtId="166" fontId="24" fillId="0" borderId="0" xfId="0" applyNumberFormat="1" applyFont="1" applyAlignment="1">
      <alignment horizontal="left" vertical="top" wrapText="1"/>
    </xf>
    <xf numFmtId="0" fontId="0" fillId="0" borderId="0" xfId="0" applyFont="1"/>
    <xf numFmtId="0" fontId="0" fillId="2" borderId="0" xfId="0" applyNumberFormat="1" applyFill="1" applyProtection="1"/>
    <xf numFmtId="0" fontId="20" fillId="0" borderId="24" xfId="0" applyFont="1" applyBorder="1" applyAlignment="1">
      <alignment horizontal="left"/>
    </xf>
    <xf numFmtId="0" fontId="20" fillId="3" borderId="27" xfId="0" applyFont="1" applyFill="1" applyBorder="1"/>
    <xf numFmtId="0" fontId="22" fillId="0" borderId="0" xfId="44" applyNumberFormat="1" applyFont="1"/>
    <xf numFmtId="0" fontId="19" fillId="0" borderId="0" xfId="42"/>
    <xf numFmtId="0" fontId="23" fillId="0" borderId="0" xfId="45" applyFont="1" applyFill="1" applyAlignment="1">
      <alignment horizontal="center" vertical="top" wrapText="1"/>
    </xf>
    <xf numFmtId="0" fontId="2" fillId="0" borderId="0" xfId="45"/>
    <xf numFmtId="0" fontId="2" fillId="0" borderId="0" xfId="45" applyNumberFormat="1" applyFont="1"/>
    <xf numFmtId="49" fontId="24" fillId="0" borderId="0" xfId="45" applyNumberFormat="1" applyFont="1" applyAlignment="1">
      <alignment horizontal="left" vertical="top" wrapText="1"/>
    </xf>
    <xf numFmtId="0" fontId="2" fillId="3" borderId="0" xfId="45" applyFill="1"/>
    <xf numFmtId="0" fontId="25" fillId="0" borderId="0" xfId="45" applyFont="1"/>
    <xf numFmtId="0" fontId="2" fillId="0" borderId="0" xfId="45" applyAlignment="1">
      <alignment vertical="top"/>
    </xf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0" fontId="22" fillId="0" borderId="0" xfId="44" applyNumberFormat="1" applyFont="1"/>
    <xf numFmtId="40" fontId="27" fillId="10" borderId="16" xfId="0" applyNumberFormat="1" applyFont="1" applyFill="1" applyBorder="1" applyAlignment="1">
      <alignment horizontal="center"/>
    </xf>
    <xf numFmtId="40" fontId="28" fillId="0" borderId="0" xfId="0" applyNumberFormat="1" applyFont="1" applyFill="1" applyBorder="1" applyAlignment="1">
      <alignment horizontal="center"/>
    </xf>
    <xf numFmtId="40" fontId="28" fillId="0" borderId="25" xfId="0" applyNumberFormat="1" applyFont="1" applyFill="1" applyBorder="1" applyAlignment="1">
      <alignment horizontal="center"/>
    </xf>
    <xf numFmtId="0" fontId="20" fillId="0" borderId="24" xfId="0" applyFont="1" applyBorder="1" applyAlignment="1">
      <alignment horizontal="left" indent="1"/>
    </xf>
    <xf numFmtId="40" fontId="28" fillId="3" borderId="14" xfId="0" applyNumberFormat="1" applyFont="1" applyFill="1" applyBorder="1" applyAlignment="1">
      <alignment horizontal="center"/>
    </xf>
    <xf numFmtId="40" fontId="28" fillId="3" borderId="17" xfId="0" applyNumberFormat="1" applyFont="1" applyFill="1" applyBorder="1" applyAlignment="1">
      <alignment horizontal="center"/>
    </xf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29" fillId="0" borderId="0" xfId="46" applyNumberFormat="1" applyFont="1"/>
    <xf numFmtId="0" fontId="0" fillId="0" borderId="0" xfId="0" applyNumberFormat="1" applyAlignment="1">
      <alignment vertical="top"/>
    </xf>
    <xf numFmtId="0" fontId="29" fillId="0" borderId="0" xfId="46" applyNumberFormat="1" applyFont="1"/>
    <xf numFmtId="0" fontId="29" fillId="0" borderId="0" xfId="46" applyFont="1"/>
    <xf numFmtId="14" fontId="29" fillId="0" borderId="0" xfId="46" applyNumberFormat="1" applyFont="1" applyAlignment="1">
      <alignment horizontal="right"/>
    </xf>
    <xf numFmtId="4" fontId="29" fillId="0" borderId="0" xfId="46" applyNumberFormat="1" applyFont="1" applyAlignment="1">
      <alignment horizontal="right"/>
    </xf>
    <xf numFmtId="3" fontId="29" fillId="0" borderId="0" xfId="46" applyNumberFormat="1" applyFont="1" applyAlignment="1">
      <alignment horizontal="right"/>
    </xf>
    <xf numFmtId="0" fontId="29" fillId="0" borderId="0" xfId="46" applyNumberFormat="1" applyFont="1"/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/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5"/>
    <cellStyle name="Normal 3" xfId="43"/>
    <cellStyle name="Normal 4" xfId="44"/>
    <cellStyle name="Normal 5" xfId="46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ill>
        <patternFill patternType="none">
          <bgColor auto="1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alignment horizontal="center" readingOrder="0"/>
    </dxf>
    <dxf>
      <alignment horizontal="center" readingOrder="0"/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5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rgb="FFA5A5A5"/>
        </patternFill>
      </fill>
      <border diagonalUp="0" diagonalDown="0" outline="0">
        <left style="double">
          <color rgb="FF3F3F3F"/>
        </left>
        <right style="double">
          <color rgb="FF3F3F3F"/>
        </right>
        <top style="double">
          <color rgb="FF3F3F3F"/>
        </top>
        <bottom style="double">
          <color rgb="FF3F3F3F"/>
        </bottom>
      </border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lzz012O/AppData/Local/Temp/New%20layout/vlog%20aging%20mod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by invoice"/>
      <sheetName val="Data"/>
      <sheetName val="BP vs name"/>
      <sheetName val="HELP"/>
      <sheetName val="Credimundi"/>
      <sheetName val="Atradiu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otier, Christopher J" refreshedDate="42965.432721064812" createdVersion="4" refreshedVersion="4" minRefreshableVersion="3" recordCount="2">
  <cacheSource type="worksheet">
    <worksheetSource ref="A1:AF50000" sheet="Data"/>
  </cacheSource>
  <cacheFields count="32">
    <cacheField name="Stat" numFmtId="0">
      <sharedItems containsNonDate="0" containsString="0" containsBlank="1"/>
    </cacheField>
    <cacheField name="Account" numFmtId="0">
      <sharedItems containsNonDate="0" containsString="0" containsBlank="1"/>
    </cacheField>
    <cacheField name="Type" numFmtId="0">
      <sharedItems containsNonDate="0" containsString="0" containsBlank="1"/>
    </cacheField>
    <cacheField name="DocumentNo" numFmtId="0">
      <sharedItems containsNonDate="0" containsString="0" containsBlank="1"/>
    </cacheField>
    <cacheField name="Assignment" numFmtId="0">
      <sharedItems containsNonDate="0" containsString="0" containsBlank="1"/>
    </cacheField>
    <cacheField name="SG" numFmtId="0">
      <sharedItems containsNonDate="0" containsString="0" containsBlank="1"/>
    </cacheField>
    <cacheField name="DD" numFmtId="0">
      <sharedItems containsNonDate="0" containsString="0" containsBlank="1"/>
    </cacheField>
    <cacheField name="Text" numFmtId="0">
      <sharedItems containsNonDate="0" containsString="0" containsBlank="1"/>
    </cacheField>
    <cacheField name="PayT" numFmtId="0">
      <sharedItems containsNonDate="0" containsString="0" containsBlank="1"/>
    </cacheField>
    <cacheField name="CoCd" numFmtId="0">
      <sharedItems containsNonDate="0" containsString="0" containsBlank="1"/>
    </cacheField>
    <cacheField name="Doc. Date" numFmtId="0">
      <sharedItems containsNonDate="0" containsString="0" containsBlank="1"/>
    </cacheField>
    <cacheField name="Net due dt" numFmtId="0">
      <sharedItems containsNonDate="0" containsString="0" containsBlank="1"/>
    </cacheField>
    <cacheField name="Amt in loc.cur." numFmtId="0">
      <sharedItems containsNonDate="0" containsString="0" containsBlank="1"/>
    </cacheField>
    <cacheField name="LCurr" numFmtId="0">
      <sharedItems containsNonDate="0" containsString="0" containsBlank="1"/>
    </cacheField>
    <cacheField name="Amt loc.curr.2" numFmtId="0">
      <sharedItems containsNonDate="0" containsString="0" containsBlank="1"/>
    </cacheField>
    <cacheField name="LCur2" numFmtId="0">
      <sharedItems containsNonDate="0" containsString="0" containsBlank="1"/>
    </cacheField>
    <cacheField name="Arrear" numFmtId="0">
      <sharedItems containsNonDate="0" containsString="0" containsBlank="1"/>
    </cacheField>
    <cacheField name="Clearing date" numFmtId="0">
      <sharedItems containsNonDate="0" containsString="0" containsBlank="1"/>
    </cacheField>
    <cacheField name="Amount in doc. curr." numFmtId="0">
      <sharedItems containsNonDate="0" containsString="0" containsBlank="1"/>
    </cacheField>
    <cacheField name="Document currency" numFmtId="0">
      <sharedItems containsNonDate="0" containsString="0" containsBlank="1" count="1">
        <m/>
      </sharedItems>
    </cacheField>
    <cacheField name="Invoice reference" numFmtId="0">
      <sharedItems containsNonDate="0" containsString="0" containsBlank="1"/>
    </cacheField>
    <cacheField name="Billing Document" numFmtId="0">
      <sharedItems containsNonDate="0" containsString="0" containsBlank="1"/>
    </cacheField>
    <cacheField name="Reference Key 2" numFmtId="0">
      <sharedItems containsNonDate="0" containsString="0" containsBlank="1"/>
    </cacheField>
    <cacheField name="Reference" numFmtId="0">
      <sharedItems containsNonDate="0" containsString="0" containsBlank="1"/>
    </cacheField>
    <cacheField name="Ageing Bucket" numFmtId="0">
      <sharedItems containsBlank="1" count="2">
        <s v="Current"/>
        <m/>
      </sharedItems>
    </cacheField>
    <cacheField name="Customer Name" numFmtId="0">
      <sharedItems containsBlank="1"/>
    </cacheField>
    <cacheField name="City" numFmtId="0">
      <sharedItems containsBlank="1"/>
    </cacheField>
    <cacheField name="Intercompany Y/N" numFmtId="0">
      <sharedItems containsBlank="1" count="2">
        <s v="N"/>
        <m/>
      </sharedItems>
    </cacheField>
    <cacheField name="Dunning" numFmtId="0">
      <sharedItems containsBlank="1"/>
    </cacheField>
    <cacheField name="CL" numFmtId="0">
      <sharedItems containsBlank="1" count="2">
        <e v="#REF!"/>
        <m/>
      </sharedItems>
    </cacheField>
    <cacheField name="Credit Insurance" numFmtId="0">
      <sharedItems containsString="0" containsBlank="1" containsNumber="1" containsInteger="1" minValue="0" maxValue="0" count="2">
        <n v="0"/>
        <m/>
      </sharedItems>
    </cacheField>
    <cacheField name="Country" numFmtId="0">
      <sharedItems containsBlank="1" count="2"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m/>
    <m/>
    <m/>
    <m/>
    <m/>
    <m/>
    <m/>
    <m/>
    <m/>
    <m/>
    <m/>
    <m/>
    <m/>
    <m/>
    <m/>
    <x v="0"/>
    <m/>
    <m/>
    <m/>
    <m/>
    <x v="0"/>
    <e v="#N/A"/>
    <e v="#N/A"/>
    <x v="0"/>
    <s v="NO"/>
    <x v="0"/>
    <x v="0"/>
    <x v="0"/>
  </r>
  <r>
    <m/>
    <m/>
    <m/>
    <m/>
    <m/>
    <m/>
    <m/>
    <m/>
    <m/>
    <m/>
    <m/>
    <m/>
    <m/>
    <m/>
    <m/>
    <m/>
    <m/>
    <m/>
    <m/>
    <x v="0"/>
    <m/>
    <m/>
    <m/>
    <m/>
    <x v="1"/>
    <m/>
    <m/>
    <x v="1"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Countries" colHeaderCaption="Bucket">
  <location ref="A4:D10" firstHeaderRow="1" firstDataRow="2" firstDataCol="1" rowPageCount="1" colPageCount="1"/>
  <pivotFields count="3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  <pivotField axis="axisRow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axis="axisCol">
      <items count="3">
        <item x="0"/>
        <item x="1"/>
        <item t="default"/>
      </items>
    </pivotField>
    <pivotField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0"/>
        <item x="1"/>
        <item t="default"/>
      </items>
    </pivotField>
    <pivotField showAll="0" defaultSubtotal="0"/>
    <pivotField showAll="0" sortType="descending" defaultSubtotal="0">
      <items count="2">
        <item x="0"/>
        <item x="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 defaultSubtotal="0">
      <items count="2">
        <item x="0"/>
        <item x="1"/>
      </items>
    </pivotField>
    <pivotField axis="axisRow" showAll="0" defaultSubtotal="0">
      <items count="2">
        <item x="0"/>
        <item x="1"/>
      </items>
    </pivotField>
  </pivotFields>
  <rowFields count="2">
    <field x="31"/>
    <field x="19"/>
  </rowFields>
  <rowItems count="5">
    <i>
      <x/>
    </i>
    <i r="1">
      <x/>
    </i>
    <i>
      <x v="1"/>
    </i>
    <i r="1">
      <x/>
    </i>
    <i t="grand">
      <x/>
    </i>
  </rowItems>
  <colFields count="1">
    <field x="24"/>
  </colFields>
  <colItems count="3">
    <i>
      <x/>
    </i>
    <i>
      <x v="1"/>
    </i>
    <i t="grand">
      <x/>
    </i>
  </colItems>
  <pageFields count="1">
    <pageField fld="30" hier="-1"/>
  </pageFields>
  <dataFields count="1">
    <dataField name="Sum of Amt in loc.cur." fld="12" baseField="19" baseItem="0" numFmtId="40"/>
  </dataFields>
  <formats count="41">
    <format dxfId="122">
      <pivotArea outline="0" collapsedLevelsAreSubtotals="1" fieldPosition="0"/>
    </format>
    <format dxfId="121">
      <pivotArea dataOnly="0" labelOnly="1" grandRow="1" outline="0" fieldPosition="0"/>
    </format>
    <format dxfId="120">
      <pivotArea dataOnly="0" labelOnly="1" fieldPosition="0">
        <references count="1">
          <reference field="24" count="0"/>
        </references>
      </pivotArea>
    </format>
    <format dxfId="119">
      <pivotArea dataOnly="0" labelOnly="1" grandCol="1" outline="0" fieldPosition="0"/>
    </format>
    <format dxfId="118">
      <pivotArea outline="0" collapsedLevelsAreSubtotals="1" fieldPosition="0"/>
    </format>
    <format dxfId="117">
      <pivotArea dataOnly="0" labelOnly="1" grandRow="1" outline="0" fieldPosition="0"/>
    </format>
    <format dxfId="116">
      <pivotArea dataOnly="0" labelOnly="1" fieldPosition="0">
        <references count="1">
          <reference field="24" count="0"/>
        </references>
      </pivotArea>
    </format>
    <format dxfId="115">
      <pivotArea dataOnly="0" labelOnly="1" grandCol="1" outline="0" fieldPosition="0"/>
    </format>
    <format dxfId="114">
      <pivotArea outline="0" collapsedLevelsAreSubtotals="1" fieldPosition="0"/>
    </format>
    <format dxfId="113">
      <pivotArea field="24" type="button" dataOnly="0" labelOnly="1" outline="0" axis="axisCol" fieldPosition="0"/>
    </format>
    <format dxfId="112">
      <pivotArea type="topRight" dataOnly="0" labelOnly="1" outline="0" fieldPosition="0"/>
    </format>
    <format dxfId="111">
      <pivotArea dataOnly="0" labelOnly="1" fieldPosition="0">
        <references count="1">
          <reference field="24" count="0"/>
        </references>
      </pivotArea>
    </format>
    <format dxfId="110">
      <pivotArea dataOnly="0" labelOnly="1" grandCol="1" outline="0" fieldPosition="0"/>
    </format>
    <format dxfId="109">
      <pivotArea dataOnly="0" labelOnly="1" fieldPosition="0">
        <references count="1">
          <reference field="24" count="0"/>
        </references>
      </pivotArea>
    </format>
    <format dxfId="108">
      <pivotArea outline="0" collapsedLevelsAreSubtotals="1" fieldPosition="0"/>
    </format>
    <format dxfId="107">
      <pivotArea outline="0" collapsedLevelsAreSubtotals="1" fieldPosition="0"/>
    </format>
    <format dxfId="106">
      <pivotArea field="27" type="button" dataOnly="0" labelOnly="1" outline="0"/>
    </format>
    <format dxfId="105">
      <pivotArea field="27" type="button" dataOnly="0" labelOnly="1" outline="0"/>
    </format>
    <format dxfId="104">
      <pivotArea outline="0" collapsedLevelsAreSubtotals="1" fieldPosition="0"/>
    </format>
    <format dxfId="103">
      <pivotArea dataOnly="0" labelOnly="1" grandRow="1" outline="0" fieldPosition="0"/>
    </format>
    <format dxfId="102">
      <pivotArea dataOnly="0" labelOnly="1" fieldPosition="0">
        <references count="1">
          <reference field="24" count="0"/>
        </references>
      </pivotArea>
    </format>
    <format dxfId="101">
      <pivotArea dataOnly="0" labelOnly="1" grandCol="1" outline="0" fieldPosition="0"/>
    </format>
    <format dxfId="100">
      <pivotArea outline="0" collapsedLevelsAreSubtotals="1" fieldPosition="0"/>
    </format>
    <format dxfId="99">
      <pivotArea type="all" dataOnly="0" outline="0" fieldPosition="0"/>
    </format>
    <format dxfId="98">
      <pivotArea grandRow="1" outline="0" collapsedLevelsAreSubtotals="1" fieldPosition="0"/>
    </format>
    <format dxfId="97">
      <pivotArea dataOnly="0" labelOnly="1" grandRow="1" outline="0" fieldPosition="0"/>
    </format>
    <format dxfId="96">
      <pivotArea field="27" type="button" dataOnly="0" labelOnly="1" outline="0"/>
    </format>
    <format dxfId="95">
      <pivotArea type="origin" dataOnly="0" labelOnly="1" outline="0" fieldPosition="0"/>
    </format>
    <format dxfId="94">
      <pivotArea field="24" type="button" dataOnly="0" labelOnly="1" outline="0" axis="axisCol" fieldPosition="0"/>
    </format>
    <format dxfId="93">
      <pivotArea type="topRight" dataOnly="0" labelOnly="1" outline="0" fieldPosition="0"/>
    </format>
    <format dxfId="92">
      <pivotArea dataOnly="0" labelOnly="1" grandCol="1" outline="0" fieldPosition="0"/>
    </format>
    <format dxfId="91">
      <pivotArea type="all" dataOnly="0" outline="0" fieldPosition="0"/>
    </format>
    <format dxfId="90">
      <pivotArea grandRow="1" outline="0" collapsedLevelsAreSubtotals="1" fieldPosition="0"/>
    </format>
    <format dxfId="89">
      <pivotArea dataOnly="0" labelOnly="1" grandRow="1" outline="0" fieldPosition="0"/>
    </format>
    <format dxfId="88">
      <pivotArea type="topRight" dataOnly="0" labelOnly="1" outline="0" offset="K1" fieldPosition="0"/>
    </format>
    <format dxfId="87">
      <pivotArea dataOnly="0" labelOnly="1" grandCol="1" outline="0" fieldPosition="0"/>
    </format>
    <format dxfId="86">
      <pivotArea type="origin" dataOnly="0" labelOnly="1" outline="0" fieldPosition="0"/>
    </format>
    <format dxfId="85">
      <pivotArea field="24" type="button" dataOnly="0" labelOnly="1" outline="0" axis="axisCol" fieldPosition="0"/>
    </format>
    <format dxfId="84">
      <pivotArea dataOnly="0" labelOnly="1" grandRow="1" outline="0" fieldPosition="0"/>
    </format>
    <format dxfId="83">
      <pivotArea dataOnly="0" labelOnly="1" grandRow="1" outline="0" fieldPosition="0"/>
    </format>
    <format dxfId="82">
      <pivotArea field="29" type="button" dataOnly="0" labelOnly="1" outline="0"/>
    </format>
  </formats>
  <pivotTableStyleInfo name="PivotStyleLight15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M496"/>
  <sheetViews>
    <sheetView tabSelected="1" zoomScale="80" zoomScaleNormal="80" workbookViewId="0">
      <selection activeCell="C4" sqref="C4"/>
    </sheetView>
  </sheetViews>
  <sheetFormatPr defaultRowHeight="15"/>
  <cols>
    <col min="1" max="1" width="21" customWidth="1"/>
    <col min="2" max="2" width="10" style="20" customWidth="1"/>
    <col min="3" max="3" width="7.42578125" style="20" customWidth="1"/>
    <col min="4" max="4" width="11.5703125" style="20" customWidth="1"/>
    <col min="5" max="5" width="7.28515625" style="20" customWidth="1"/>
    <col min="6" max="6" width="8.42578125" style="20" customWidth="1"/>
    <col min="7" max="7" width="9.42578125" style="20" customWidth="1"/>
    <col min="8" max="8" width="8.42578125" style="20" customWidth="1"/>
    <col min="9" max="9" width="9.42578125" style="20" customWidth="1"/>
    <col min="10" max="10" width="6" style="20" customWidth="1"/>
    <col min="11" max="12" width="8.42578125" style="20" customWidth="1"/>
    <col min="13" max="13" width="7.42578125" style="20" customWidth="1"/>
    <col min="14" max="14" width="11.5703125" customWidth="1"/>
    <col min="15" max="15" width="6.28515625" customWidth="1"/>
    <col min="16" max="17" width="7.28515625" customWidth="1"/>
    <col min="18" max="18" width="8.42578125" customWidth="1"/>
    <col min="19" max="19" width="9.42578125" customWidth="1"/>
    <col min="20" max="20" width="8.42578125" customWidth="1"/>
    <col min="21" max="21" width="9.42578125" customWidth="1"/>
    <col min="22" max="22" width="6" customWidth="1"/>
    <col min="23" max="24" width="8.42578125" customWidth="1"/>
    <col min="25" max="25" width="7.42578125" customWidth="1"/>
    <col min="26" max="26" width="14.42578125" customWidth="1"/>
    <col min="27" max="27" width="11.5703125" customWidth="1"/>
    <col min="28" max="28" width="12.28515625" customWidth="1"/>
    <col min="29" max="29" width="7.28515625" customWidth="1"/>
    <col min="30" max="30" width="8.42578125" customWidth="1"/>
    <col min="31" max="31" width="9.42578125" customWidth="1"/>
    <col min="32" max="32" width="8.42578125" customWidth="1"/>
    <col min="33" max="33" width="9.42578125" customWidth="1"/>
    <col min="34" max="34" width="13.140625" customWidth="1"/>
    <col min="35" max="36" width="8.42578125" customWidth="1"/>
    <col min="37" max="37" width="7.42578125" customWidth="1"/>
    <col min="38" max="38" width="7.7109375" customWidth="1"/>
    <col min="39" max="39" width="6.28515625" customWidth="1"/>
    <col min="40" max="40" width="13.85546875" customWidth="1"/>
    <col min="41" max="41" width="7.28515625" customWidth="1"/>
    <col min="42" max="42" width="8.42578125" customWidth="1"/>
    <col min="43" max="43" width="9.42578125" customWidth="1"/>
    <col min="44" max="44" width="8.42578125" customWidth="1"/>
    <col min="45" max="45" width="9.42578125" customWidth="1"/>
    <col min="46" max="46" width="6" customWidth="1"/>
    <col min="47" max="48" width="8.42578125" customWidth="1"/>
    <col min="49" max="49" width="7.42578125" customWidth="1"/>
    <col min="50" max="50" width="13.140625" bestFit="1" customWidth="1"/>
    <col min="51" max="51" width="13.85546875" bestFit="1" customWidth="1"/>
    <col min="52" max="52" width="11.5703125" bestFit="1" customWidth="1"/>
    <col min="53" max="53" width="7.28515625" customWidth="1"/>
    <col min="54" max="54" width="8.42578125" customWidth="1"/>
    <col min="55" max="55" width="9.42578125" customWidth="1"/>
    <col min="56" max="56" width="8.42578125" customWidth="1"/>
    <col min="57" max="57" width="9.42578125" customWidth="1"/>
    <col min="58" max="58" width="6" customWidth="1"/>
    <col min="59" max="60" width="8.42578125" customWidth="1"/>
    <col min="61" max="61" width="7.42578125" customWidth="1"/>
    <col min="62" max="62" width="15.5703125" bestFit="1" customWidth="1"/>
    <col min="63" max="63" width="15.140625" bestFit="1" customWidth="1"/>
    <col min="64" max="64" width="13.85546875" bestFit="1" customWidth="1"/>
    <col min="65" max="65" width="14.42578125" customWidth="1"/>
    <col min="66" max="67" width="14.42578125" bestFit="1" customWidth="1"/>
    <col min="68" max="68" width="14.42578125" customWidth="1"/>
    <col min="69" max="69" width="13.140625" bestFit="1" customWidth="1"/>
    <col min="70" max="70" width="15.5703125" customWidth="1"/>
    <col min="71" max="71" width="14.42578125" customWidth="1"/>
    <col min="72" max="72" width="14.42578125" bestFit="1" customWidth="1"/>
    <col min="73" max="73" width="7.42578125" customWidth="1"/>
    <col min="74" max="74" width="9.140625" customWidth="1"/>
    <col min="75" max="75" width="6.28515625" customWidth="1"/>
    <col min="76" max="77" width="7.28515625" customWidth="1"/>
    <col min="78" max="78" width="8.42578125" customWidth="1"/>
    <col min="79" max="79" width="9.42578125" customWidth="1"/>
    <col min="80" max="80" width="8.42578125" customWidth="1"/>
    <col min="81" max="81" width="9.42578125" customWidth="1"/>
    <col min="82" max="82" width="6" customWidth="1"/>
    <col min="83" max="84" width="8.42578125" customWidth="1"/>
    <col min="85" max="85" width="7.42578125" customWidth="1"/>
    <col min="86" max="86" width="15.5703125" customWidth="1"/>
    <col min="87" max="88" width="10.85546875" bestFit="1" customWidth="1"/>
    <col min="89" max="89" width="12.42578125" bestFit="1" customWidth="1"/>
    <col min="90" max="90" width="10.85546875" bestFit="1" customWidth="1"/>
    <col min="91" max="91" width="14" bestFit="1" customWidth="1"/>
    <col min="92" max="92" width="11.140625" bestFit="1" customWidth="1"/>
    <col min="93" max="93" width="10.85546875" bestFit="1" customWidth="1"/>
    <col min="94" max="94" width="9.85546875" bestFit="1" customWidth="1"/>
    <col min="95" max="96" width="12.42578125" bestFit="1" customWidth="1"/>
    <col min="97" max="97" width="14.5703125" bestFit="1" customWidth="1"/>
    <col min="98" max="98" width="13.28515625" bestFit="1" customWidth="1"/>
    <col min="99" max="99" width="10.85546875" bestFit="1" customWidth="1"/>
    <col min="100" max="100" width="11.5703125" bestFit="1" customWidth="1"/>
    <col min="101" max="102" width="10.85546875" bestFit="1" customWidth="1"/>
    <col min="103" max="103" width="12.7109375" bestFit="1" customWidth="1"/>
    <col min="104" max="105" width="11.5703125" bestFit="1" customWidth="1"/>
    <col min="106" max="106" width="10.5703125" bestFit="1" customWidth="1"/>
    <col min="107" max="107" width="11.5703125" bestFit="1" customWidth="1"/>
    <col min="108" max="108" width="10.85546875" bestFit="1" customWidth="1"/>
    <col min="109" max="109" width="21.42578125" bestFit="1" customWidth="1"/>
    <col min="110" max="110" width="10.85546875" bestFit="1" customWidth="1"/>
    <col min="111" max="111" width="11.5703125" bestFit="1" customWidth="1"/>
    <col min="112" max="112" width="10.85546875" bestFit="1" customWidth="1"/>
    <col min="113" max="113" width="14" bestFit="1" customWidth="1"/>
    <col min="114" max="114" width="11.5703125" bestFit="1" customWidth="1"/>
    <col min="115" max="115" width="13.28515625" bestFit="1" customWidth="1"/>
    <col min="116" max="116" width="15.42578125" bestFit="1" customWidth="1"/>
    <col min="117" max="117" width="10.5703125" bestFit="1" customWidth="1"/>
    <col min="118" max="118" width="11.5703125" bestFit="1" customWidth="1"/>
    <col min="119" max="119" width="11.140625" bestFit="1" customWidth="1"/>
    <col min="120" max="120" width="11.28515625" bestFit="1" customWidth="1"/>
    <col min="121" max="121" width="9.85546875" bestFit="1" customWidth="1"/>
    <col min="122" max="122" width="12.140625" bestFit="1" customWidth="1"/>
    <col min="123" max="123" width="9.85546875" bestFit="1" customWidth="1"/>
    <col min="124" max="124" width="13.28515625" bestFit="1" customWidth="1"/>
    <col min="125" max="125" width="8.85546875" customWidth="1"/>
    <col min="126" max="126" width="10.85546875" bestFit="1" customWidth="1"/>
    <col min="127" max="127" width="8.85546875" customWidth="1"/>
    <col min="128" max="128" width="12.7109375" bestFit="1" customWidth="1"/>
    <col min="129" max="129" width="18.85546875" bestFit="1" customWidth="1"/>
    <col min="130" max="130" width="10" bestFit="1" customWidth="1"/>
    <col min="131" max="131" width="10.85546875" bestFit="1" customWidth="1"/>
    <col min="132" max="132" width="9.85546875" bestFit="1" customWidth="1"/>
    <col min="133" max="133" width="11" bestFit="1" customWidth="1"/>
    <col min="134" max="134" width="11.28515625" bestFit="1" customWidth="1"/>
    <col min="135" max="136" width="11.5703125" bestFit="1" customWidth="1"/>
    <col min="137" max="137" width="13.28515625" bestFit="1" customWidth="1"/>
    <col min="138" max="138" width="10.5703125" bestFit="1" customWidth="1"/>
    <col min="139" max="139" width="10.85546875" bestFit="1" customWidth="1"/>
    <col min="140" max="140" width="10.5703125" bestFit="1" customWidth="1"/>
    <col min="141" max="141" width="13.7109375" bestFit="1" customWidth="1"/>
    <col min="142" max="142" width="9.85546875" bestFit="1" customWidth="1"/>
    <col min="143" max="143" width="11.5703125" bestFit="1" customWidth="1"/>
    <col min="144" max="144" width="11.85546875" bestFit="1" customWidth="1"/>
    <col min="145" max="145" width="11.5703125" bestFit="1" customWidth="1"/>
    <col min="146" max="146" width="14.5703125" bestFit="1" customWidth="1"/>
    <col min="147" max="147" width="11.5703125" bestFit="1" customWidth="1"/>
    <col min="148" max="148" width="14.85546875" bestFit="1" customWidth="1"/>
    <col min="149" max="149" width="12" bestFit="1" customWidth="1"/>
    <col min="150" max="150" width="11.5703125" bestFit="1" customWidth="1"/>
    <col min="151" max="151" width="10.85546875" bestFit="1" customWidth="1"/>
    <col min="152" max="153" width="9.85546875" bestFit="1" customWidth="1"/>
    <col min="154" max="154" width="20.28515625" bestFit="1" customWidth="1"/>
    <col min="155" max="155" width="10.85546875" bestFit="1" customWidth="1"/>
    <col min="156" max="156" width="11.5703125" bestFit="1" customWidth="1"/>
    <col min="157" max="157" width="10.5703125" bestFit="1" customWidth="1"/>
    <col min="158" max="158" width="11.85546875" bestFit="1" customWidth="1"/>
    <col min="159" max="159" width="10" bestFit="1" customWidth="1"/>
    <col min="160" max="160" width="14" bestFit="1" customWidth="1"/>
    <col min="161" max="161" width="11.140625" bestFit="1" customWidth="1"/>
    <col min="162" max="162" width="9.85546875" bestFit="1" customWidth="1"/>
    <col min="163" max="164" width="10.85546875" bestFit="1" customWidth="1"/>
    <col min="165" max="165" width="14.28515625" bestFit="1" customWidth="1"/>
    <col min="166" max="166" width="13.28515625" bestFit="1" customWidth="1"/>
    <col min="167" max="167" width="10.85546875" bestFit="1" customWidth="1"/>
    <col min="168" max="168" width="11.5703125" bestFit="1" customWidth="1"/>
    <col min="169" max="169" width="8.85546875" customWidth="1"/>
    <col min="170" max="170" width="10.85546875" bestFit="1" customWidth="1"/>
    <col min="171" max="171" width="12.7109375" bestFit="1" customWidth="1"/>
    <col min="172" max="172" width="11.5703125" bestFit="1" customWidth="1"/>
    <col min="173" max="173" width="10.85546875" bestFit="1" customWidth="1"/>
    <col min="174" max="174" width="9.85546875" bestFit="1" customWidth="1"/>
    <col min="175" max="175" width="11.5703125" bestFit="1" customWidth="1"/>
    <col min="176" max="176" width="14" bestFit="1" customWidth="1"/>
    <col min="177" max="177" width="11.5703125" bestFit="1" customWidth="1"/>
    <col min="178" max="178" width="12.42578125" bestFit="1" customWidth="1"/>
    <col min="179" max="179" width="9.85546875" bestFit="1" customWidth="1"/>
    <col min="180" max="180" width="10.28515625" bestFit="1" customWidth="1"/>
    <col min="181" max="181" width="13.42578125" bestFit="1" customWidth="1"/>
    <col min="182" max="182" width="10.5703125" bestFit="1" customWidth="1"/>
    <col min="183" max="183" width="17.85546875" bestFit="1" customWidth="1"/>
    <col min="184" max="184" width="10.85546875" bestFit="1" customWidth="1"/>
    <col min="185" max="185" width="9.85546875" bestFit="1" customWidth="1"/>
    <col min="186" max="186" width="11.140625" bestFit="1" customWidth="1"/>
    <col min="187" max="187" width="10.85546875" bestFit="1" customWidth="1"/>
    <col min="188" max="188" width="11.28515625" bestFit="1" customWidth="1"/>
    <col min="189" max="189" width="8.140625" customWidth="1"/>
    <col min="190" max="190" width="12.140625" bestFit="1" customWidth="1"/>
    <col min="191" max="191" width="13.28515625" bestFit="1" customWidth="1"/>
    <col min="192" max="192" width="8.85546875" customWidth="1"/>
    <col min="193" max="193" width="10.5703125" bestFit="1" customWidth="1"/>
    <col min="194" max="194" width="11.5703125" bestFit="1" customWidth="1"/>
    <col min="195" max="195" width="10.42578125" bestFit="1" customWidth="1"/>
    <col min="196" max="196" width="12.42578125" bestFit="1" customWidth="1"/>
    <col min="197" max="197" width="12.7109375" bestFit="1" customWidth="1"/>
    <col min="198" max="198" width="11" bestFit="1" customWidth="1"/>
    <col min="199" max="199" width="11.5703125" bestFit="1" customWidth="1"/>
    <col min="200" max="200" width="11.28515625" bestFit="1" customWidth="1"/>
    <col min="201" max="201" width="12.42578125" bestFit="1" customWidth="1"/>
    <col min="202" max="202" width="10.5703125" bestFit="1" customWidth="1"/>
    <col min="203" max="203" width="9.85546875" bestFit="1" customWidth="1"/>
    <col min="204" max="204" width="9.5703125" bestFit="1" customWidth="1"/>
    <col min="205" max="205" width="32.140625" bestFit="1" customWidth="1"/>
    <col min="206" max="206" width="13.7109375" bestFit="1" customWidth="1"/>
    <col min="207" max="208" width="10.5703125" bestFit="1" customWidth="1"/>
    <col min="209" max="209" width="12" bestFit="1" customWidth="1"/>
    <col min="210" max="210" width="11.42578125" bestFit="1" customWidth="1"/>
    <col min="211" max="211" width="8.85546875" customWidth="1"/>
    <col min="212" max="212" width="12.42578125" bestFit="1" customWidth="1"/>
    <col min="213" max="213" width="13.7109375" bestFit="1" customWidth="1"/>
    <col min="214" max="214" width="20.28515625" bestFit="1" customWidth="1"/>
    <col min="215" max="215" width="9" customWidth="1"/>
    <col min="216" max="216" width="11.85546875" bestFit="1" customWidth="1"/>
    <col min="217" max="217" width="14" bestFit="1" customWidth="1"/>
    <col min="218" max="218" width="11.5703125" bestFit="1" customWidth="1"/>
    <col min="219" max="219" width="10.85546875" bestFit="1" customWidth="1"/>
    <col min="220" max="220" width="13.28515625" bestFit="1" customWidth="1"/>
    <col min="221" max="221" width="9.85546875" bestFit="1" customWidth="1"/>
    <col min="222" max="222" width="12.42578125" bestFit="1" customWidth="1"/>
    <col min="223" max="223" width="10.85546875" bestFit="1" customWidth="1"/>
    <col min="224" max="224" width="11.5703125" bestFit="1" customWidth="1"/>
    <col min="225" max="225" width="10" bestFit="1" customWidth="1"/>
    <col min="226" max="226" width="8.85546875" customWidth="1"/>
    <col min="227" max="227" width="14" bestFit="1" customWidth="1"/>
    <col min="228" max="228" width="10.85546875" bestFit="1" customWidth="1"/>
    <col min="229" max="229" width="13.5703125" bestFit="1" customWidth="1"/>
    <col min="230" max="230" width="9.85546875" bestFit="1" customWidth="1"/>
    <col min="231" max="231" width="17.85546875" bestFit="1" customWidth="1"/>
    <col min="232" max="232" width="9.5703125" bestFit="1" customWidth="1"/>
    <col min="233" max="233" width="11.140625" bestFit="1" customWidth="1"/>
    <col min="234" max="235" width="10.85546875" bestFit="1" customWidth="1"/>
    <col min="236" max="236" width="11.28515625" bestFit="1" customWidth="1"/>
    <col min="237" max="237" width="12.140625" bestFit="1" customWidth="1"/>
    <col min="238" max="238" width="10.85546875" bestFit="1" customWidth="1"/>
    <col min="239" max="239" width="9.5703125" bestFit="1" customWidth="1"/>
    <col min="240" max="240" width="9.85546875" bestFit="1" customWidth="1"/>
    <col min="241" max="241" width="10.42578125" bestFit="1" customWidth="1"/>
    <col min="242" max="243" width="10.85546875" bestFit="1" customWidth="1"/>
    <col min="244" max="244" width="13.7109375" bestFit="1" customWidth="1"/>
    <col min="245" max="245" width="11.85546875" bestFit="1" customWidth="1"/>
    <col min="246" max="246" width="9.5703125" bestFit="1" customWidth="1"/>
    <col min="247" max="247" width="9.28515625" bestFit="1" customWidth="1"/>
    <col min="248" max="248" width="9.85546875" bestFit="1" customWidth="1"/>
    <col min="249" max="249" width="12.42578125" bestFit="1" customWidth="1"/>
    <col min="250" max="250" width="13.7109375" bestFit="1" customWidth="1"/>
    <col min="251" max="251" width="12.42578125" bestFit="1" customWidth="1"/>
    <col min="252" max="252" width="13.5703125" bestFit="1" customWidth="1"/>
    <col min="253" max="253" width="13.140625" bestFit="1" customWidth="1"/>
    <col min="254" max="254" width="10.85546875" bestFit="1" customWidth="1"/>
    <col min="255" max="255" width="11.5703125" bestFit="1" customWidth="1"/>
    <col min="256" max="256" width="9.85546875" bestFit="1" customWidth="1"/>
    <col min="257" max="257" width="14" bestFit="1" customWidth="1"/>
    <col min="258" max="258" width="10.85546875" bestFit="1" customWidth="1"/>
    <col min="259" max="259" width="13.5703125" bestFit="1" customWidth="1"/>
    <col min="260" max="260" width="17.85546875" bestFit="1" customWidth="1"/>
    <col min="261" max="261" width="11.28515625" bestFit="1" customWidth="1"/>
    <col min="262" max="262" width="10.85546875" bestFit="1" customWidth="1"/>
    <col min="263" max="263" width="13.7109375" bestFit="1" customWidth="1"/>
    <col min="264" max="264" width="9.85546875" bestFit="1" customWidth="1"/>
    <col min="265" max="265" width="10.85546875" bestFit="1" customWidth="1"/>
    <col min="266" max="266" width="13.5703125" bestFit="1" customWidth="1"/>
    <col min="267" max="267" width="13.140625" bestFit="1" customWidth="1"/>
    <col min="268" max="268" width="10.85546875" bestFit="1" customWidth="1"/>
    <col min="269" max="269" width="11.5703125" bestFit="1" customWidth="1"/>
    <col min="270" max="270" width="9.85546875" bestFit="1" customWidth="1"/>
    <col min="271" max="271" width="14" bestFit="1" customWidth="1"/>
    <col min="272" max="272" width="10.85546875" bestFit="1" customWidth="1"/>
    <col min="273" max="273" width="13.5703125" bestFit="1" customWidth="1"/>
    <col min="274" max="274" width="10.85546875" bestFit="1" customWidth="1"/>
    <col min="275" max="275" width="13.7109375" bestFit="1" customWidth="1"/>
    <col min="276" max="276" width="9.28515625" bestFit="1" customWidth="1"/>
    <col min="277" max="277" width="16.28515625" bestFit="1" customWidth="1"/>
    <col min="278" max="278" width="13.7109375" bestFit="1" customWidth="1"/>
    <col min="279" max="279" width="9.85546875" bestFit="1" customWidth="1"/>
    <col min="280" max="280" width="12.42578125" bestFit="1" customWidth="1"/>
    <col min="281" max="281" width="13.5703125" bestFit="1" customWidth="1"/>
    <col min="282" max="282" width="10.85546875" bestFit="1" customWidth="1"/>
    <col min="283" max="283" width="9.85546875" bestFit="1" customWidth="1"/>
    <col min="284" max="284" width="14" bestFit="1" customWidth="1"/>
    <col min="285" max="285" width="10.85546875" bestFit="1" customWidth="1"/>
    <col min="286" max="286" width="13.5703125" bestFit="1" customWidth="1"/>
    <col min="287" max="287" width="10.85546875" bestFit="1" customWidth="1"/>
    <col min="288" max="288" width="10.7109375" bestFit="1" customWidth="1"/>
    <col min="289" max="289" width="14.85546875" bestFit="1" customWidth="1"/>
    <col min="290" max="290" width="11.140625" bestFit="1" customWidth="1"/>
    <col min="291" max="291" width="12.42578125" bestFit="1" customWidth="1"/>
    <col min="292" max="292" width="13.5703125" bestFit="1" customWidth="1"/>
    <col min="293" max="293" width="14" bestFit="1" customWidth="1"/>
    <col min="294" max="294" width="10.85546875" bestFit="1" customWidth="1"/>
    <col min="295" max="295" width="17.85546875" bestFit="1" customWidth="1"/>
    <col min="296" max="296" width="10.85546875" bestFit="1" customWidth="1"/>
    <col min="297" max="297" width="13.7109375" bestFit="1" customWidth="1"/>
    <col min="298" max="298" width="13.5703125" bestFit="1" customWidth="1"/>
    <col min="299" max="301" width="10.85546875" bestFit="1" customWidth="1"/>
    <col min="302" max="302" width="14" bestFit="1" customWidth="1"/>
    <col min="303" max="303" width="12.42578125" bestFit="1" customWidth="1"/>
    <col min="304" max="304" width="9.85546875" bestFit="1" customWidth="1"/>
    <col min="305" max="305" width="14.5703125" bestFit="1" customWidth="1"/>
    <col min="306" max="306" width="17.85546875" bestFit="1" customWidth="1"/>
    <col min="307" max="307" width="11.140625" bestFit="1" customWidth="1"/>
    <col min="308" max="308" width="9.85546875" bestFit="1" customWidth="1"/>
    <col min="309" max="309" width="16.42578125" bestFit="1" customWidth="1"/>
    <col min="310" max="310" width="13.7109375" bestFit="1" customWidth="1"/>
    <col min="311" max="312" width="10.85546875" bestFit="1" customWidth="1"/>
    <col min="313" max="313" width="14.5703125" bestFit="1" customWidth="1"/>
    <col min="314" max="314" width="12.42578125" bestFit="1" customWidth="1"/>
    <col min="315" max="315" width="9.85546875" bestFit="1" customWidth="1"/>
    <col min="316" max="316" width="10.28515625" bestFit="1" customWidth="1"/>
    <col min="317" max="317" width="10.85546875" bestFit="1" customWidth="1"/>
    <col min="318" max="318" width="14" bestFit="1" customWidth="1"/>
    <col min="319" max="320" width="10.85546875" bestFit="1" customWidth="1"/>
    <col min="321" max="321" width="17.85546875" bestFit="1" customWidth="1"/>
    <col min="322" max="322" width="10.85546875" bestFit="1" customWidth="1"/>
    <col min="323" max="323" width="11.140625" bestFit="1" customWidth="1"/>
    <col min="324" max="324" width="10.85546875" bestFit="1" customWidth="1"/>
    <col min="325" max="325" width="12.42578125" bestFit="1" customWidth="1"/>
    <col min="326" max="326" width="10.85546875" bestFit="1" customWidth="1"/>
    <col min="327" max="327" width="10.42578125" bestFit="1" customWidth="1"/>
    <col min="328" max="328" width="8.85546875" customWidth="1"/>
    <col min="329" max="329" width="14.85546875" bestFit="1" customWidth="1"/>
    <col min="330" max="330" width="10.85546875" bestFit="1" customWidth="1"/>
    <col min="331" max="331" width="13.5703125" bestFit="1" customWidth="1"/>
    <col min="332" max="332" width="12.7109375" bestFit="1" customWidth="1"/>
    <col min="333" max="333" width="11.5703125" bestFit="1" customWidth="1"/>
    <col min="334" max="334" width="10.28515625" bestFit="1" customWidth="1"/>
    <col min="335" max="335" width="14" bestFit="1" customWidth="1"/>
    <col min="336" max="336" width="10.85546875" bestFit="1" customWidth="1"/>
    <col min="337" max="337" width="11.140625" bestFit="1" customWidth="1"/>
    <col min="338" max="338" width="12.42578125" bestFit="1" customWidth="1"/>
    <col min="339" max="339" width="10.85546875" bestFit="1" customWidth="1"/>
    <col min="340" max="340" width="9.85546875" bestFit="1" customWidth="1"/>
    <col min="341" max="341" width="7.28515625" customWidth="1"/>
    <col min="342" max="342" width="13.7109375" bestFit="1" customWidth="1"/>
    <col min="343" max="343" width="10.85546875" bestFit="1" customWidth="1"/>
    <col min="344" max="344" width="13.5703125" bestFit="1" customWidth="1"/>
    <col min="346" max="346" width="12.140625" bestFit="1" customWidth="1"/>
    <col min="347" max="347" width="14.5703125" bestFit="1" customWidth="1"/>
  </cols>
  <sheetData>
    <row r="1" spans="1:13" ht="15.75" thickBot="1">
      <c r="B1"/>
    </row>
    <row r="2" spans="1:13" ht="15.75" thickBot="1">
      <c r="A2" s="41" t="s">
        <v>882</v>
      </c>
      <c r="B2" s="42" t="s">
        <v>884</v>
      </c>
    </row>
    <row r="3" spans="1:13" ht="15.75" thickBot="1">
      <c r="B3"/>
      <c r="C3"/>
      <c r="D3"/>
      <c r="E3"/>
      <c r="F3"/>
      <c r="G3"/>
      <c r="H3"/>
      <c r="I3"/>
      <c r="J3"/>
      <c r="K3"/>
      <c r="L3"/>
      <c r="M3"/>
    </row>
    <row r="4" spans="1:13" ht="15.75" thickBot="1">
      <c r="A4" s="53" t="s">
        <v>20</v>
      </c>
      <c r="B4" s="22" t="s">
        <v>35</v>
      </c>
      <c r="C4" s="21"/>
      <c r="D4" s="40"/>
      <c r="E4"/>
      <c r="F4"/>
      <c r="G4"/>
      <c r="H4"/>
      <c r="I4"/>
      <c r="J4"/>
      <c r="K4"/>
      <c r="L4"/>
      <c r="M4"/>
    </row>
    <row r="5" spans="1:13" ht="15.75" thickBot="1">
      <c r="A5" s="39" t="s">
        <v>34</v>
      </c>
      <c r="B5" s="67" t="s">
        <v>23</v>
      </c>
      <c r="C5" s="67" t="s">
        <v>883</v>
      </c>
      <c r="D5" s="23" t="s">
        <v>22</v>
      </c>
      <c r="E5"/>
      <c r="F5"/>
      <c r="G5"/>
      <c r="H5"/>
      <c r="I5"/>
      <c r="J5"/>
      <c r="K5"/>
      <c r="L5"/>
      <c r="M5"/>
    </row>
    <row r="6" spans="1:13" ht="15.75" thickTop="1">
      <c r="A6" s="52" t="s">
        <v>1593</v>
      </c>
      <c r="B6" s="68"/>
      <c r="C6" s="68"/>
      <c r="D6" s="69"/>
      <c r="E6"/>
      <c r="F6"/>
      <c r="G6"/>
      <c r="H6"/>
      <c r="I6"/>
      <c r="J6"/>
      <c r="K6"/>
      <c r="L6"/>
      <c r="M6"/>
    </row>
    <row r="7" spans="1:13">
      <c r="A7" s="70" t="s">
        <v>883</v>
      </c>
      <c r="B7" s="68"/>
      <c r="C7" s="68"/>
      <c r="D7" s="69"/>
      <c r="E7"/>
      <c r="F7"/>
      <c r="G7"/>
      <c r="H7"/>
      <c r="I7"/>
      <c r="J7"/>
      <c r="K7"/>
      <c r="L7"/>
      <c r="M7"/>
    </row>
    <row r="8" spans="1:13">
      <c r="A8" s="52" t="s">
        <v>883</v>
      </c>
      <c r="B8" s="68"/>
      <c r="C8" s="68"/>
      <c r="D8" s="69"/>
      <c r="E8"/>
      <c r="F8"/>
      <c r="G8"/>
      <c r="H8"/>
      <c r="I8"/>
      <c r="J8"/>
      <c r="K8"/>
      <c r="L8"/>
      <c r="M8"/>
    </row>
    <row r="9" spans="1:13" ht="15.75" thickBot="1">
      <c r="A9" s="70" t="s">
        <v>883</v>
      </c>
      <c r="B9" s="68"/>
      <c r="C9" s="68"/>
      <c r="D9" s="69"/>
      <c r="E9"/>
      <c r="F9"/>
      <c r="G9"/>
      <c r="H9"/>
      <c r="I9"/>
      <c r="J9"/>
      <c r="K9"/>
      <c r="L9"/>
      <c r="M9"/>
    </row>
    <row r="10" spans="1:13" ht="15.75" thickBot="1">
      <c r="A10" s="32" t="s">
        <v>22</v>
      </c>
      <c r="B10" s="71"/>
      <c r="C10" s="71"/>
      <c r="D10" s="72"/>
      <c r="E10"/>
      <c r="F10"/>
      <c r="G10"/>
      <c r="H10"/>
      <c r="I10"/>
      <c r="J10"/>
      <c r="K10"/>
      <c r="L10"/>
      <c r="M10"/>
    </row>
    <row r="11" spans="1:13">
      <c r="B11"/>
      <c r="C11"/>
      <c r="D11"/>
      <c r="E11"/>
      <c r="F11"/>
      <c r="G11"/>
      <c r="H11"/>
      <c r="I11"/>
      <c r="J11"/>
      <c r="K11"/>
      <c r="L11"/>
      <c r="M11"/>
    </row>
    <row r="12" spans="1:13">
      <c r="B12"/>
      <c r="C12"/>
      <c r="D12"/>
      <c r="E12"/>
      <c r="F12"/>
      <c r="G12"/>
      <c r="H12"/>
      <c r="I12"/>
      <c r="J12"/>
      <c r="K12"/>
      <c r="L12"/>
      <c r="M12"/>
    </row>
    <row r="13" spans="1:13">
      <c r="B13"/>
      <c r="C13"/>
      <c r="D13"/>
      <c r="E13"/>
      <c r="F13"/>
      <c r="G13"/>
      <c r="H13"/>
      <c r="I13"/>
      <c r="J13"/>
      <c r="K13"/>
      <c r="L13"/>
      <c r="M13"/>
    </row>
    <row r="14" spans="1:13">
      <c r="B14"/>
      <c r="C14"/>
      <c r="D14"/>
      <c r="E14"/>
      <c r="F14"/>
      <c r="G14"/>
      <c r="H14"/>
      <c r="I14"/>
      <c r="J14"/>
      <c r="K14"/>
      <c r="L14"/>
      <c r="M14"/>
    </row>
    <row r="15" spans="1:13">
      <c r="B15"/>
      <c r="C15"/>
      <c r="D15"/>
      <c r="E15"/>
      <c r="F15"/>
      <c r="G15"/>
      <c r="H15"/>
      <c r="I15"/>
      <c r="J15"/>
      <c r="K15"/>
      <c r="L15"/>
      <c r="M15"/>
    </row>
    <row r="16" spans="1:13">
      <c r="B16"/>
      <c r="C16"/>
      <c r="D16"/>
      <c r="E16"/>
      <c r="F16"/>
      <c r="G16"/>
      <c r="H16"/>
      <c r="I16"/>
      <c r="J16"/>
      <c r="K16"/>
      <c r="L16"/>
      <c r="M16"/>
    </row>
    <row r="17" spans="2:13">
      <c r="B17"/>
      <c r="C17"/>
      <c r="D17"/>
      <c r="E17"/>
      <c r="F17"/>
      <c r="G17"/>
      <c r="H17"/>
      <c r="I17"/>
      <c r="J17"/>
      <c r="K17"/>
      <c r="L17"/>
      <c r="M17"/>
    </row>
    <row r="18" spans="2:13">
      <c r="B18"/>
      <c r="C18"/>
      <c r="D18"/>
      <c r="E18"/>
      <c r="F18"/>
      <c r="G18"/>
      <c r="H18"/>
      <c r="I18"/>
      <c r="J18"/>
      <c r="K18"/>
      <c r="L18"/>
      <c r="M18"/>
    </row>
    <row r="19" spans="2:13">
      <c r="B19"/>
      <c r="C19"/>
      <c r="D19"/>
      <c r="E19"/>
      <c r="F19"/>
      <c r="G19"/>
      <c r="H19"/>
      <c r="I19"/>
      <c r="J19"/>
      <c r="K19"/>
      <c r="L19"/>
      <c r="M19"/>
    </row>
    <row r="20" spans="2:13">
      <c r="B20"/>
      <c r="C20"/>
      <c r="D20"/>
      <c r="E20"/>
      <c r="F20"/>
      <c r="G20"/>
      <c r="H20"/>
      <c r="I20"/>
      <c r="J20"/>
      <c r="K20"/>
      <c r="L20"/>
      <c r="M20"/>
    </row>
    <row r="21" spans="2:13">
      <c r="B21"/>
      <c r="C21"/>
      <c r="D21"/>
      <c r="E21"/>
      <c r="F21"/>
      <c r="G21"/>
      <c r="H21"/>
      <c r="I21"/>
      <c r="J21"/>
      <c r="K21"/>
      <c r="L21"/>
      <c r="M21"/>
    </row>
    <row r="22" spans="2:13">
      <c r="B22"/>
      <c r="C22"/>
      <c r="D22"/>
      <c r="E22"/>
      <c r="F22"/>
      <c r="G22"/>
      <c r="H22"/>
      <c r="I22"/>
      <c r="J22"/>
      <c r="K22"/>
      <c r="L22"/>
      <c r="M22"/>
    </row>
    <row r="23" spans="2:13">
      <c r="B23"/>
      <c r="C23"/>
      <c r="D23"/>
      <c r="E23"/>
      <c r="F23"/>
      <c r="G23"/>
      <c r="H23"/>
      <c r="I23"/>
      <c r="J23"/>
      <c r="K23"/>
      <c r="L23"/>
      <c r="M23"/>
    </row>
    <row r="24" spans="2:13">
      <c r="B24"/>
      <c r="C24"/>
      <c r="D24"/>
      <c r="E24"/>
      <c r="F24"/>
      <c r="G24"/>
      <c r="H24"/>
      <c r="I24"/>
      <c r="J24"/>
      <c r="K24"/>
      <c r="L24"/>
      <c r="M24"/>
    </row>
    <row r="25" spans="2:13">
      <c r="B25"/>
      <c r="C25"/>
      <c r="D25"/>
      <c r="E25"/>
      <c r="F25"/>
      <c r="G25"/>
      <c r="H25"/>
      <c r="I25"/>
      <c r="J25"/>
      <c r="K25"/>
      <c r="L25"/>
      <c r="M25"/>
    </row>
    <row r="26" spans="2:13">
      <c r="B26"/>
      <c r="C26"/>
      <c r="D26"/>
      <c r="E26"/>
      <c r="F26"/>
      <c r="G26"/>
      <c r="H26"/>
      <c r="I26"/>
      <c r="J26"/>
      <c r="K26"/>
      <c r="L26"/>
      <c r="M26"/>
    </row>
    <row r="27" spans="2:13">
      <c r="B27"/>
      <c r="C27"/>
      <c r="D27"/>
      <c r="E27"/>
      <c r="F27"/>
      <c r="G27"/>
      <c r="H27"/>
      <c r="I27"/>
      <c r="J27"/>
      <c r="K27"/>
      <c r="L27"/>
      <c r="M27"/>
    </row>
    <row r="28" spans="2:13">
      <c r="B28"/>
      <c r="C28"/>
      <c r="D28"/>
      <c r="E28"/>
      <c r="F28"/>
      <c r="G28"/>
      <c r="H28"/>
      <c r="I28"/>
      <c r="J28"/>
      <c r="K28"/>
      <c r="L28"/>
      <c r="M28"/>
    </row>
    <row r="29" spans="2:13">
      <c r="B29"/>
      <c r="C29"/>
      <c r="D29"/>
      <c r="E29"/>
      <c r="F29"/>
      <c r="G29"/>
      <c r="H29"/>
      <c r="I29"/>
      <c r="J29"/>
      <c r="K29"/>
      <c r="L29"/>
      <c r="M29"/>
    </row>
    <row r="30" spans="2:13">
      <c r="B30"/>
      <c r="C30"/>
      <c r="D30"/>
      <c r="E30"/>
      <c r="F30"/>
      <c r="G30"/>
      <c r="H30"/>
      <c r="I30"/>
      <c r="J30"/>
      <c r="K30"/>
      <c r="L30"/>
      <c r="M30"/>
    </row>
    <row r="31" spans="2:13">
      <c r="B31"/>
      <c r="C31"/>
      <c r="D31"/>
      <c r="E31"/>
      <c r="F31"/>
      <c r="G31"/>
      <c r="H31"/>
      <c r="I31"/>
      <c r="J31"/>
      <c r="K31"/>
      <c r="L31"/>
      <c r="M31"/>
    </row>
    <row r="32" spans="2:13">
      <c r="B32"/>
      <c r="C32"/>
      <c r="D32"/>
      <c r="E32"/>
      <c r="F32"/>
      <c r="G32"/>
      <c r="H32"/>
      <c r="I32"/>
      <c r="J32"/>
      <c r="K32"/>
      <c r="L32"/>
      <c r="M32"/>
    </row>
    <row r="33" spans="2:13">
      <c r="B33"/>
      <c r="C33"/>
      <c r="D33"/>
      <c r="E33"/>
      <c r="F33"/>
      <c r="G33"/>
      <c r="H33"/>
      <c r="I33"/>
      <c r="J33"/>
      <c r="K33"/>
      <c r="L33"/>
      <c r="M33"/>
    </row>
    <row r="34" spans="2:13">
      <c r="B34"/>
      <c r="C34"/>
      <c r="D34"/>
      <c r="E34"/>
      <c r="F34"/>
      <c r="G34"/>
      <c r="H34"/>
      <c r="I34"/>
      <c r="J34"/>
      <c r="K34"/>
      <c r="L34"/>
      <c r="M34"/>
    </row>
    <row r="35" spans="2:13">
      <c r="B35"/>
      <c r="C35"/>
      <c r="D35"/>
      <c r="E35"/>
      <c r="F35"/>
      <c r="G35"/>
      <c r="H35"/>
      <c r="I35"/>
      <c r="J35"/>
      <c r="K35"/>
      <c r="L35"/>
      <c r="M35"/>
    </row>
    <row r="36" spans="2:13">
      <c r="B36"/>
      <c r="C36"/>
      <c r="D36"/>
      <c r="E36"/>
      <c r="F36"/>
      <c r="G36"/>
      <c r="H36"/>
      <c r="I36"/>
      <c r="J36"/>
      <c r="K36"/>
      <c r="L36"/>
      <c r="M36"/>
    </row>
    <row r="37" spans="2:13">
      <c r="B37"/>
      <c r="C37"/>
      <c r="D37"/>
      <c r="E37"/>
      <c r="F37"/>
      <c r="G37"/>
      <c r="H37"/>
      <c r="I37"/>
      <c r="J37"/>
      <c r="K37"/>
      <c r="L37"/>
      <c r="M37"/>
    </row>
    <row r="38" spans="2:13">
      <c r="B38"/>
      <c r="C38"/>
      <c r="D38"/>
      <c r="E38"/>
      <c r="F38"/>
      <c r="G38"/>
      <c r="H38"/>
      <c r="I38"/>
      <c r="J38"/>
      <c r="K38"/>
      <c r="L38"/>
      <c r="M38"/>
    </row>
    <row r="39" spans="2:13">
      <c r="B39"/>
      <c r="C39"/>
      <c r="D39"/>
      <c r="E39"/>
      <c r="F39"/>
      <c r="G39"/>
      <c r="H39"/>
      <c r="I39"/>
      <c r="J39"/>
      <c r="K39"/>
      <c r="L39"/>
      <c r="M39"/>
    </row>
    <row r="40" spans="2:13">
      <c r="B40"/>
      <c r="C40"/>
      <c r="D40"/>
      <c r="E40"/>
      <c r="F40"/>
      <c r="G40"/>
      <c r="H40"/>
      <c r="I40"/>
      <c r="J40"/>
      <c r="K40"/>
      <c r="L40"/>
      <c r="M40"/>
    </row>
    <row r="41" spans="2:13">
      <c r="B41"/>
      <c r="C41"/>
      <c r="D41"/>
      <c r="E41"/>
      <c r="F41"/>
      <c r="G41"/>
      <c r="H41"/>
      <c r="I41"/>
      <c r="J41"/>
      <c r="K41"/>
      <c r="L41"/>
      <c r="M41"/>
    </row>
    <row r="42" spans="2:13">
      <c r="B42"/>
      <c r="C42"/>
      <c r="D42"/>
      <c r="E42"/>
      <c r="F42"/>
      <c r="G42"/>
      <c r="H42"/>
      <c r="I42"/>
      <c r="J42"/>
      <c r="K42"/>
      <c r="L42"/>
      <c r="M42"/>
    </row>
    <row r="43" spans="2:13">
      <c r="B43"/>
      <c r="C43"/>
      <c r="D43"/>
      <c r="E43"/>
      <c r="F43"/>
      <c r="G43"/>
      <c r="H43"/>
      <c r="I43"/>
      <c r="J43"/>
      <c r="K43"/>
      <c r="L43"/>
      <c r="M43"/>
    </row>
    <row r="44" spans="2:13">
      <c r="B44"/>
      <c r="C44"/>
      <c r="D44"/>
      <c r="E44"/>
      <c r="F44"/>
      <c r="G44"/>
      <c r="H44"/>
      <c r="I44"/>
      <c r="J44"/>
      <c r="K44"/>
      <c r="L44"/>
      <c r="M44"/>
    </row>
    <row r="45" spans="2:13">
      <c r="B45"/>
      <c r="C45"/>
      <c r="D45"/>
      <c r="E45"/>
      <c r="F45"/>
      <c r="G45"/>
      <c r="H45"/>
      <c r="I45"/>
      <c r="J45"/>
      <c r="K45"/>
      <c r="L45"/>
      <c r="M45"/>
    </row>
    <row r="46" spans="2:13">
      <c r="B46"/>
      <c r="C46"/>
      <c r="D46"/>
      <c r="E46"/>
      <c r="F46"/>
      <c r="G46"/>
      <c r="H46"/>
      <c r="I46"/>
      <c r="J46"/>
      <c r="K46"/>
      <c r="L46"/>
      <c r="M46"/>
    </row>
    <row r="47" spans="2:13">
      <c r="B47"/>
      <c r="C47"/>
      <c r="D47"/>
      <c r="E47"/>
      <c r="F47"/>
      <c r="G47"/>
      <c r="H47"/>
      <c r="I47"/>
      <c r="J47"/>
      <c r="K47"/>
      <c r="L47"/>
      <c r="M47"/>
    </row>
    <row r="48" spans="2:13">
      <c r="B48"/>
      <c r="C48"/>
      <c r="D48"/>
      <c r="E48"/>
      <c r="F48"/>
      <c r="G48"/>
      <c r="H48"/>
      <c r="I48"/>
      <c r="J48"/>
      <c r="K48"/>
      <c r="L48"/>
      <c r="M48"/>
    </row>
    <row r="49" spans="2:13">
      <c r="B49"/>
      <c r="C49"/>
      <c r="D49"/>
      <c r="E49"/>
      <c r="F49"/>
      <c r="G49"/>
      <c r="H49"/>
      <c r="I49"/>
      <c r="J49"/>
      <c r="K49"/>
      <c r="L49"/>
      <c r="M49"/>
    </row>
    <row r="50" spans="2:13">
      <c r="B50"/>
      <c r="C50"/>
      <c r="D50"/>
      <c r="E50"/>
      <c r="F50"/>
      <c r="G50"/>
      <c r="H50"/>
      <c r="I50"/>
      <c r="J50"/>
      <c r="K50"/>
      <c r="L50"/>
      <c r="M50"/>
    </row>
    <row r="51" spans="2:13">
      <c r="B51"/>
      <c r="C51"/>
      <c r="D51"/>
      <c r="E51"/>
      <c r="F51"/>
      <c r="G51"/>
      <c r="H51"/>
      <c r="I51"/>
      <c r="J51"/>
      <c r="K51"/>
      <c r="L51"/>
      <c r="M51"/>
    </row>
    <row r="52" spans="2:13">
      <c r="B52"/>
      <c r="C52"/>
      <c r="D52"/>
      <c r="E52"/>
      <c r="F52"/>
      <c r="G52"/>
      <c r="H52"/>
      <c r="I52"/>
      <c r="J52"/>
      <c r="K52"/>
      <c r="L52"/>
      <c r="M52"/>
    </row>
    <row r="53" spans="2:13">
      <c r="B53"/>
      <c r="C53"/>
      <c r="D53"/>
      <c r="E53"/>
      <c r="F53"/>
      <c r="G53"/>
      <c r="H53"/>
      <c r="I53"/>
      <c r="J53"/>
      <c r="K53"/>
      <c r="L53"/>
      <c r="M53"/>
    </row>
    <row r="54" spans="2:13">
      <c r="B54"/>
      <c r="C54"/>
      <c r="D54"/>
      <c r="E54"/>
      <c r="F54"/>
      <c r="G54"/>
      <c r="H54"/>
      <c r="I54"/>
      <c r="J54"/>
      <c r="K54"/>
      <c r="L54"/>
      <c r="M54"/>
    </row>
    <row r="55" spans="2:13">
      <c r="B55"/>
      <c r="C55"/>
      <c r="D55"/>
      <c r="E55"/>
      <c r="F55"/>
      <c r="G55"/>
      <c r="H55"/>
      <c r="I55"/>
      <c r="J55"/>
      <c r="K55"/>
      <c r="L55"/>
      <c r="M55"/>
    </row>
    <row r="56" spans="2:13">
      <c r="B56"/>
      <c r="C56"/>
      <c r="D56"/>
      <c r="E56"/>
      <c r="F56"/>
      <c r="G56"/>
      <c r="H56"/>
      <c r="I56"/>
      <c r="J56"/>
      <c r="K56"/>
      <c r="L56"/>
      <c r="M56"/>
    </row>
    <row r="57" spans="2:13">
      <c r="B57"/>
      <c r="C57"/>
      <c r="D57"/>
      <c r="E57"/>
      <c r="F57"/>
      <c r="G57"/>
      <c r="H57"/>
      <c r="I57"/>
      <c r="J57"/>
      <c r="K57"/>
      <c r="L57"/>
      <c r="M57"/>
    </row>
    <row r="58" spans="2:13">
      <c r="B58"/>
      <c r="C58"/>
      <c r="D58"/>
      <c r="E58"/>
      <c r="F58"/>
      <c r="G58"/>
      <c r="H58"/>
      <c r="I58"/>
      <c r="J58"/>
      <c r="K58"/>
      <c r="L58"/>
      <c r="M58"/>
    </row>
    <row r="59" spans="2:13">
      <c r="B59"/>
      <c r="C59"/>
      <c r="D59"/>
      <c r="E59"/>
      <c r="F59"/>
      <c r="G59"/>
      <c r="H59"/>
      <c r="I59"/>
      <c r="J59"/>
      <c r="K59"/>
      <c r="L59"/>
      <c r="M59"/>
    </row>
    <row r="60" spans="2:13">
      <c r="B60"/>
      <c r="C60"/>
      <c r="D60"/>
      <c r="E60"/>
      <c r="F60"/>
      <c r="G60"/>
      <c r="H60"/>
      <c r="I60"/>
      <c r="J60"/>
      <c r="K60"/>
      <c r="L60"/>
      <c r="M60"/>
    </row>
    <row r="61" spans="2:13">
      <c r="B61"/>
      <c r="C61"/>
      <c r="D61"/>
      <c r="E61"/>
      <c r="F61"/>
      <c r="G61"/>
      <c r="H61"/>
      <c r="I61"/>
      <c r="J61"/>
      <c r="K61"/>
      <c r="L61"/>
      <c r="M61"/>
    </row>
    <row r="62" spans="2:13">
      <c r="B62"/>
      <c r="C62"/>
      <c r="D62"/>
      <c r="E62"/>
      <c r="F62"/>
      <c r="G62"/>
      <c r="H62"/>
      <c r="I62"/>
      <c r="J62"/>
      <c r="K62"/>
      <c r="L62"/>
      <c r="M62"/>
    </row>
    <row r="63" spans="2:13">
      <c r="B63"/>
      <c r="C63"/>
      <c r="D63"/>
      <c r="E63"/>
      <c r="F63"/>
      <c r="G63"/>
      <c r="H63"/>
      <c r="I63"/>
      <c r="J63"/>
      <c r="K63"/>
      <c r="L63"/>
      <c r="M63"/>
    </row>
    <row r="64" spans="2:13">
      <c r="B64"/>
      <c r="C64"/>
      <c r="D64"/>
      <c r="E64"/>
      <c r="F64"/>
      <c r="G64"/>
      <c r="H64"/>
      <c r="I64"/>
      <c r="J64"/>
      <c r="K64"/>
      <c r="L64"/>
      <c r="M64"/>
    </row>
    <row r="65" spans="2:13">
      <c r="B65"/>
      <c r="C65"/>
      <c r="D65"/>
      <c r="E65"/>
      <c r="F65"/>
      <c r="G65"/>
      <c r="H65"/>
      <c r="I65"/>
      <c r="J65"/>
      <c r="K65"/>
      <c r="L65"/>
      <c r="M65"/>
    </row>
    <row r="66" spans="2:13">
      <c r="B66"/>
      <c r="C66"/>
      <c r="D66"/>
      <c r="E66"/>
      <c r="F66"/>
      <c r="G66"/>
      <c r="H66"/>
      <c r="I66"/>
      <c r="J66"/>
      <c r="K66"/>
      <c r="L66"/>
      <c r="M66"/>
    </row>
    <row r="67" spans="2:13">
      <c r="B67"/>
      <c r="C67"/>
      <c r="D67"/>
      <c r="E67"/>
      <c r="F67"/>
      <c r="G67"/>
      <c r="H67"/>
      <c r="I67"/>
      <c r="J67"/>
      <c r="K67"/>
      <c r="L67"/>
      <c r="M67"/>
    </row>
    <row r="68" spans="2:13">
      <c r="B68"/>
      <c r="C68"/>
      <c r="D68"/>
      <c r="E68"/>
      <c r="F68"/>
      <c r="G68"/>
      <c r="H68"/>
      <c r="I68"/>
      <c r="J68"/>
      <c r="K68"/>
      <c r="L68"/>
      <c r="M68"/>
    </row>
    <row r="69" spans="2:13">
      <c r="B69"/>
      <c r="C69"/>
      <c r="D69"/>
      <c r="E69"/>
      <c r="F69"/>
      <c r="G69"/>
      <c r="H69"/>
      <c r="I69"/>
      <c r="J69"/>
      <c r="K69"/>
      <c r="L69"/>
      <c r="M69"/>
    </row>
    <row r="70" spans="2:13">
      <c r="B70"/>
      <c r="C70"/>
      <c r="D70"/>
      <c r="E70"/>
      <c r="F70"/>
      <c r="G70"/>
      <c r="H70"/>
      <c r="I70"/>
      <c r="J70"/>
      <c r="K70"/>
      <c r="L70"/>
      <c r="M70"/>
    </row>
    <row r="71" spans="2:13">
      <c r="B71"/>
      <c r="C71"/>
      <c r="D71"/>
      <c r="E71"/>
      <c r="F71"/>
      <c r="G71"/>
      <c r="H71"/>
      <c r="I71"/>
      <c r="J71"/>
      <c r="K71"/>
      <c r="L71"/>
      <c r="M71"/>
    </row>
    <row r="72" spans="2:13">
      <c r="B72"/>
      <c r="C72"/>
      <c r="D72"/>
      <c r="E72"/>
      <c r="F72"/>
      <c r="G72"/>
      <c r="H72"/>
      <c r="I72"/>
      <c r="J72"/>
      <c r="K72"/>
      <c r="L72"/>
      <c r="M72"/>
    </row>
    <row r="73" spans="2:13">
      <c r="B73"/>
      <c r="C73"/>
      <c r="D73"/>
      <c r="E73"/>
      <c r="F73"/>
      <c r="G73"/>
      <c r="H73"/>
      <c r="I73"/>
      <c r="J73"/>
      <c r="K73"/>
      <c r="L73"/>
      <c r="M73"/>
    </row>
    <row r="74" spans="2:13">
      <c r="B74"/>
      <c r="C74"/>
      <c r="D74"/>
      <c r="E74"/>
      <c r="F74"/>
      <c r="G74"/>
      <c r="H74"/>
      <c r="I74"/>
      <c r="J74"/>
      <c r="K74"/>
      <c r="L74"/>
      <c r="M74"/>
    </row>
    <row r="75" spans="2:13">
      <c r="B75"/>
      <c r="C75"/>
      <c r="D75"/>
      <c r="E75"/>
      <c r="F75"/>
      <c r="G75"/>
      <c r="H75"/>
      <c r="I75"/>
      <c r="J75"/>
      <c r="K75"/>
      <c r="L75"/>
      <c r="M75"/>
    </row>
    <row r="76" spans="2:13">
      <c r="B76"/>
      <c r="C76"/>
      <c r="D76"/>
      <c r="E76"/>
      <c r="F76"/>
      <c r="G76"/>
      <c r="H76"/>
      <c r="I76"/>
      <c r="J76"/>
      <c r="K76"/>
      <c r="L76"/>
      <c r="M76"/>
    </row>
    <row r="77" spans="2:13">
      <c r="B77"/>
      <c r="C77"/>
      <c r="D77"/>
      <c r="E77"/>
      <c r="F77"/>
      <c r="G77"/>
      <c r="H77"/>
      <c r="I77"/>
      <c r="J77"/>
      <c r="K77"/>
      <c r="L77"/>
      <c r="M77"/>
    </row>
    <row r="78" spans="2:13">
      <c r="B78"/>
      <c r="C78"/>
      <c r="D78"/>
      <c r="E78"/>
      <c r="F78"/>
      <c r="G78"/>
      <c r="H78"/>
      <c r="I78"/>
      <c r="J78"/>
      <c r="K78"/>
      <c r="L78"/>
      <c r="M78"/>
    </row>
    <row r="79" spans="2:13">
      <c r="B79"/>
      <c r="C79"/>
      <c r="D79"/>
      <c r="E79"/>
      <c r="F79"/>
      <c r="G79"/>
      <c r="H79"/>
      <c r="I79"/>
      <c r="J79"/>
      <c r="K79"/>
      <c r="L79"/>
      <c r="M79"/>
    </row>
    <row r="80" spans="2:13">
      <c r="B80"/>
      <c r="C80"/>
      <c r="D80"/>
      <c r="E80"/>
      <c r="F80"/>
      <c r="G80"/>
      <c r="H80"/>
      <c r="I80"/>
      <c r="J80"/>
      <c r="K80"/>
      <c r="L80"/>
      <c r="M80"/>
    </row>
    <row r="81" spans="2:13">
      <c r="B81"/>
      <c r="C81"/>
      <c r="D81"/>
      <c r="E81"/>
      <c r="F81"/>
      <c r="G81"/>
      <c r="H81"/>
      <c r="I81"/>
      <c r="J81"/>
      <c r="K81"/>
      <c r="L81"/>
      <c r="M81"/>
    </row>
    <row r="82" spans="2:13">
      <c r="B82"/>
      <c r="C82"/>
      <c r="D82"/>
      <c r="E82"/>
      <c r="F82"/>
      <c r="G82"/>
      <c r="H82"/>
      <c r="I82"/>
      <c r="J82"/>
      <c r="K82"/>
      <c r="L82"/>
      <c r="M82"/>
    </row>
    <row r="83" spans="2:13">
      <c r="B83"/>
      <c r="C83"/>
      <c r="D83"/>
      <c r="E83"/>
      <c r="F83"/>
      <c r="G83"/>
      <c r="H83"/>
      <c r="I83"/>
      <c r="J83"/>
      <c r="K83"/>
      <c r="L83"/>
      <c r="M83"/>
    </row>
    <row r="84" spans="2:13">
      <c r="B84"/>
      <c r="C84"/>
      <c r="D84"/>
      <c r="E84"/>
      <c r="F84"/>
      <c r="G84"/>
      <c r="H84"/>
      <c r="I84"/>
      <c r="J84"/>
      <c r="K84"/>
      <c r="L84"/>
      <c r="M84"/>
    </row>
    <row r="85" spans="2:13">
      <c r="B85"/>
      <c r="C85"/>
      <c r="D85"/>
      <c r="E85"/>
      <c r="F85"/>
      <c r="G85"/>
      <c r="H85"/>
      <c r="I85"/>
      <c r="J85"/>
      <c r="K85"/>
      <c r="L85"/>
      <c r="M85"/>
    </row>
    <row r="86" spans="2:13">
      <c r="B86"/>
      <c r="C86"/>
      <c r="D86"/>
      <c r="E86"/>
      <c r="F86"/>
      <c r="G86"/>
      <c r="H86"/>
      <c r="I86"/>
      <c r="J86"/>
      <c r="K86"/>
      <c r="L86"/>
      <c r="M86"/>
    </row>
    <row r="87" spans="2:13">
      <c r="B87"/>
      <c r="C87"/>
      <c r="D87"/>
      <c r="E87"/>
      <c r="F87"/>
      <c r="G87"/>
      <c r="H87"/>
      <c r="I87"/>
      <c r="J87"/>
      <c r="K87"/>
      <c r="L87"/>
      <c r="M87"/>
    </row>
    <row r="88" spans="2:13">
      <c r="B88"/>
      <c r="C88"/>
      <c r="D88"/>
      <c r="E88"/>
      <c r="F88"/>
      <c r="G88"/>
      <c r="H88"/>
      <c r="I88"/>
      <c r="J88"/>
      <c r="K88"/>
      <c r="L88"/>
      <c r="M88"/>
    </row>
    <row r="89" spans="2:13">
      <c r="B89"/>
      <c r="C89"/>
      <c r="D89"/>
      <c r="E89"/>
      <c r="F89"/>
      <c r="G89"/>
      <c r="H89"/>
      <c r="I89"/>
      <c r="J89"/>
      <c r="K89"/>
      <c r="L89"/>
      <c r="M89"/>
    </row>
    <row r="90" spans="2:13">
      <c r="B90"/>
      <c r="C90"/>
      <c r="D90"/>
      <c r="E90"/>
      <c r="F90"/>
      <c r="G90"/>
      <c r="H90"/>
      <c r="I90"/>
      <c r="J90"/>
      <c r="K90"/>
      <c r="L90"/>
      <c r="M90"/>
    </row>
    <row r="91" spans="2:13">
      <c r="B91"/>
      <c r="C91"/>
      <c r="D91"/>
      <c r="E91"/>
      <c r="F91"/>
      <c r="G91"/>
      <c r="H91"/>
      <c r="I91"/>
      <c r="J91"/>
      <c r="K91"/>
      <c r="L91"/>
      <c r="M91"/>
    </row>
    <row r="92" spans="2:13">
      <c r="B92"/>
      <c r="C92"/>
      <c r="D92"/>
      <c r="E92"/>
      <c r="F92"/>
      <c r="G92"/>
      <c r="H92"/>
      <c r="I92"/>
      <c r="J92"/>
      <c r="K92"/>
      <c r="L92"/>
      <c r="M92"/>
    </row>
    <row r="93" spans="2:13">
      <c r="B93"/>
      <c r="C93"/>
      <c r="D93"/>
      <c r="E93"/>
      <c r="F93"/>
      <c r="G93"/>
      <c r="H93"/>
      <c r="I93"/>
      <c r="J93"/>
      <c r="K93"/>
      <c r="L93"/>
      <c r="M93"/>
    </row>
    <row r="94" spans="2:13">
      <c r="B94"/>
      <c r="C94"/>
      <c r="D94"/>
      <c r="E94"/>
      <c r="F94"/>
      <c r="G94"/>
      <c r="H94"/>
      <c r="I94"/>
      <c r="J94"/>
      <c r="K94"/>
      <c r="L94"/>
      <c r="M94"/>
    </row>
    <row r="95" spans="2:13">
      <c r="B95"/>
      <c r="C95"/>
      <c r="D95"/>
      <c r="E95"/>
      <c r="F95"/>
      <c r="G95"/>
      <c r="H95"/>
      <c r="I95"/>
      <c r="J95"/>
      <c r="K95"/>
      <c r="L95"/>
      <c r="M95"/>
    </row>
    <row r="96" spans="2:13">
      <c r="B96"/>
      <c r="C96"/>
      <c r="D96"/>
      <c r="E96"/>
      <c r="F96"/>
      <c r="G96"/>
      <c r="H96"/>
      <c r="I96"/>
      <c r="J96"/>
      <c r="K96"/>
      <c r="L96"/>
      <c r="M96"/>
    </row>
    <row r="97" spans="2:13">
      <c r="B97"/>
      <c r="C97"/>
      <c r="D97"/>
      <c r="E97"/>
      <c r="F97"/>
      <c r="G97"/>
      <c r="H97"/>
      <c r="I97"/>
      <c r="J97"/>
      <c r="K97"/>
      <c r="L97"/>
      <c r="M97"/>
    </row>
    <row r="98" spans="2:13">
      <c r="B98"/>
      <c r="C98"/>
      <c r="D98"/>
      <c r="E98"/>
      <c r="F98"/>
      <c r="G98"/>
      <c r="H98"/>
      <c r="I98"/>
      <c r="J98"/>
      <c r="K98"/>
      <c r="L98"/>
      <c r="M98"/>
    </row>
    <row r="99" spans="2:13">
      <c r="B99"/>
      <c r="C99"/>
      <c r="D99"/>
      <c r="E99"/>
      <c r="F99"/>
      <c r="G99"/>
      <c r="H99"/>
      <c r="I99"/>
      <c r="J99"/>
      <c r="K99"/>
      <c r="L99"/>
      <c r="M99"/>
    </row>
    <row r="100" spans="2:13">
      <c r="B100"/>
      <c r="C100"/>
      <c r="D100"/>
      <c r="E100"/>
      <c r="F100"/>
      <c r="G100"/>
      <c r="H100"/>
      <c r="I100"/>
      <c r="J100"/>
      <c r="K100"/>
      <c r="L100"/>
      <c r="M100"/>
    </row>
    <row r="101" spans="2:13">
      <c r="B101"/>
      <c r="C101"/>
      <c r="D101"/>
      <c r="E101"/>
      <c r="F101"/>
      <c r="G101"/>
      <c r="H101"/>
      <c r="I101"/>
      <c r="J101"/>
      <c r="K101"/>
      <c r="L101"/>
      <c r="M101"/>
    </row>
    <row r="102" spans="2:13">
      <c r="B102"/>
      <c r="C102"/>
      <c r="D102"/>
      <c r="E102"/>
      <c r="F102"/>
      <c r="G102"/>
      <c r="H102"/>
      <c r="I102"/>
      <c r="J102"/>
      <c r="K102"/>
      <c r="L102"/>
      <c r="M102"/>
    </row>
    <row r="103" spans="2:13">
      <c r="B103"/>
      <c r="C103"/>
      <c r="D103"/>
      <c r="E103"/>
      <c r="F103"/>
      <c r="G103"/>
      <c r="H103"/>
      <c r="I103"/>
      <c r="J103"/>
      <c r="K103"/>
      <c r="L103"/>
      <c r="M103"/>
    </row>
    <row r="104" spans="2:13">
      <c r="B104"/>
      <c r="C104"/>
      <c r="D104"/>
      <c r="E104"/>
      <c r="F104"/>
      <c r="G104"/>
      <c r="H104"/>
      <c r="I104"/>
      <c r="J104"/>
      <c r="K104"/>
      <c r="L104"/>
      <c r="M104"/>
    </row>
    <row r="105" spans="2:13" ht="15.75" thickBot="1">
      <c r="B105"/>
      <c r="C105"/>
      <c r="D105"/>
      <c r="E105"/>
      <c r="F105"/>
      <c r="G105"/>
      <c r="H105"/>
      <c r="I105"/>
      <c r="J105"/>
      <c r="K105"/>
      <c r="L105"/>
      <c r="M105"/>
    </row>
    <row r="106" spans="2:13" ht="15.75" thickBot="1">
      <c r="B106"/>
      <c r="C106"/>
      <c r="D106"/>
      <c r="E106"/>
      <c r="F106"/>
      <c r="G106"/>
      <c r="H106"/>
      <c r="I106"/>
      <c r="J106"/>
      <c r="K106"/>
      <c r="L106"/>
      <c r="M106"/>
    </row>
    <row r="107" spans="2:13">
      <c r="B107"/>
      <c r="C107"/>
      <c r="D107"/>
      <c r="E107"/>
      <c r="F107"/>
      <c r="G107"/>
      <c r="H107"/>
      <c r="I107"/>
      <c r="J107"/>
      <c r="K107"/>
      <c r="L107"/>
      <c r="M107"/>
    </row>
    <row r="108" spans="2:13" ht="15.75" thickBot="1">
      <c r="B108"/>
      <c r="C108"/>
      <c r="D108"/>
      <c r="E108"/>
      <c r="F108"/>
      <c r="G108"/>
      <c r="H108"/>
      <c r="I108"/>
      <c r="J108"/>
      <c r="K108"/>
      <c r="L108"/>
      <c r="M108"/>
    </row>
    <row r="109" spans="2:13">
      <c r="B109"/>
      <c r="C109"/>
      <c r="D109"/>
      <c r="E109"/>
      <c r="F109"/>
      <c r="G109"/>
      <c r="H109"/>
      <c r="I109"/>
      <c r="J109"/>
      <c r="K109"/>
      <c r="L109"/>
      <c r="M109"/>
    </row>
    <row r="110" spans="2:13">
      <c r="B110"/>
      <c r="C110"/>
      <c r="D110"/>
      <c r="E110"/>
      <c r="F110"/>
      <c r="G110"/>
      <c r="H110"/>
      <c r="I110"/>
      <c r="J110"/>
      <c r="K110"/>
      <c r="L110"/>
      <c r="M110"/>
    </row>
    <row r="111" spans="2:13">
      <c r="B111"/>
      <c r="C111"/>
      <c r="D111"/>
      <c r="E111"/>
      <c r="F111"/>
      <c r="G111"/>
      <c r="H111"/>
      <c r="I111"/>
      <c r="J111"/>
      <c r="K111"/>
      <c r="L111"/>
      <c r="M111"/>
    </row>
    <row r="112" spans="2:13">
      <c r="B112"/>
      <c r="C112"/>
      <c r="D112"/>
      <c r="E112"/>
      <c r="F112"/>
      <c r="G112"/>
      <c r="H112"/>
      <c r="I112"/>
      <c r="J112"/>
      <c r="K112"/>
      <c r="L112"/>
      <c r="M112"/>
    </row>
    <row r="113" spans="2:13">
      <c r="B113"/>
      <c r="C113"/>
      <c r="D113"/>
      <c r="E113"/>
      <c r="F113"/>
      <c r="G113"/>
      <c r="H113"/>
      <c r="I113"/>
      <c r="J113"/>
      <c r="K113"/>
      <c r="L113"/>
      <c r="M113"/>
    </row>
    <row r="114" spans="2:13" ht="15.75" thickBot="1">
      <c r="B114"/>
      <c r="C114"/>
      <c r="D114"/>
      <c r="E114"/>
      <c r="F114"/>
      <c r="G114"/>
      <c r="H114"/>
      <c r="I114"/>
      <c r="J114"/>
      <c r="K114"/>
      <c r="L114"/>
      <c r="M114"/>
    </row>
    <row r="115" spans="2:13">
      <c r="B115"/>
      <c r="C115"/>
      <c r="D115"/>
      <c r="E115"/>
      <c r="F115"/>
      <c r="G115"/>
      <c r="H115"/>
      <c r="I115"/>
      <c r="J115"/>
      <c r="K115"/>
      <c r="L115"/>
      <c r="M115"/>
    </row>
    <row r="116" spans="2:13">
      <c r="B116"/>
      <c r="C116"/>
      <c r="D116"/>
      <c r="E116"/>
      <c r="F116"/>
      <c r="G116"/>
      <c r="H116"/>
      <c r="I116"/>
      <c r="J116"/>
      <c r="K116"/>
      <c r="L116"/>
      <c r="M116"/>
    </row>
    <row r="117" spans="2:13">
      <c r="B117"/>
      <c r="C117"/>
      <c r="D117"/>
      <c r="E117"/>
      <c r="F117"/>
      <c r="G117"/>
      <c r="H117"/>
      <c r="I117"/>
      <c r="J117"/>
      <c r="K117"/>
      <c r="L117"/>
      <c r="M117"/>
    </row>
    <row r="118" spans="2:13" ht="15.75" thickBot="1">
      <c r="B118"/>
      <c r="C118"/>
      <c r="D118"/>
      <c r="E118"/>
      <c r="F118"/>
      <c r="G118"/>
      <c r="H118"/>
      <c r="I118"/>
      <c r="J118"/>
      <c r="K118"/>
      <c r="L118"/>
      <c r="M118"/>
    </row>
    <row r="119" spans="2:13" ht="15.75" thickBot="1">
      <c r="B119"/>
      <c r="C119"/>
      <c r="D119"/>
      <c r="E119"/>
      <c r="F119"/>
      <c r="G119"/>
      <c r="H119"/>
      <c r="I119"/>
      <c r="J119"/>
      <c r="K119"/>
      <c r="L119"/>
      <c r="M119"/>
    </row>
    <row r="120" spans="2:13">
      <c r="B120"/>
      <c r="C120"/>
      <c r="D120"/>
      <c r="E120"/>
      <c r="F120"/>
      <c r="G120"/>
      <c r="H120"/>
      <c r="I120"/>
      <c r="J120"/>
      <c r="K120"/>
      <c r="L120"/>
      <c r="M120"/>
    </row>
    <row r="121" spans="2:13">
      <c r="B121"/>
      <c r="C121"/>
      <c r="D121"/>
      <c r="E121"/>
      <c r="F121"/>
      <c r="G121"/>
      <c r="H121"/>
      <c r="I121"/>
      <c r="J121"/>
      <c r="K121"/>
      <c r="L121"/>
      <c r="M121"/>
    </row>
    <row r="122" spans="2:13" ht="15.75" thickBot="1">
      <c r="B122"/>
      <c r="C122"/>
      <c r="D122"/>
      <c r="E122"/>
      <c r="F122"/>
      <c r="G122"/>
      <c r="H122"/>
      <c r="I122"/>
      <c r="J122"/>
      <c r="K122"/>
      <c r="L122"/>
      <c r="M122"/>
    </row>
    <row r="123" spans="2:13">
      <c r="B123"/>
      <c r="C123"/>
      <c r="D123"/>
      <c r="E123"/>
      <c r="F123"/>
      <c r="G123"/>
      <c r="H123"/>
      <c r="I123"/>
      <c r="J123"/>
      <c r="K123"/>
      <c r="L123"/>
      <c r="M123"/>
    </row>
    <row r="124" spans="2:13">
      <c r="B124"/>
      <c r="C124"/>
      <c r="D124"/>
      <c r="E124"/>
      <c r="F124"/>
      <c r="G124"/>
      <c r="H124"/>
      <c r="I124"/>
      <c r="J124"/>
      <c r="K124"/>
      <c r="L124"/>
      <c r="M124"/>
    </row>
    <row r="125" spans="2:13">
      <c r="B125"/>
      <c r="C125"/>
      <c r="D125"/>
      <c r="E125"/>
      <c r="F125"/>
      <c r="G125"/>
      <c r="H125"/>
      <c r="I125"/>
      <c r="J125"/>
      <c r="K125"/>
      <c r="L125"/>
      <c r="M125"/>
    </row>
    <row r="126" spans="2:13">
      <c r="B126"/>
      <c r="C126"/>
      <c r="D126"/>
      <c r="E126"/>
      <c r="F126"/>
      <c r="G126"/>
      <c r="H126"/>
      <c r="I126"/>
      <c r="J126"/>
      <c r="K126"/>
      <c r="L126"/>
      <c r="M126"/>
    </row>
    <row r="127" spans="2:13" ht="15.75" thickBot="1">
      <c r="B127"/>
      <c r="C127"/>
      <c r="D127"/>
      <c r="E127"/>
      <c r="F127"/>
      <c r="G127"/>
      <c r="H127"/>
      <c r="I127"/>
      <c r="J127"/>
      <c r="K127"/>
      <c r="L127"/>
      <c r="M127"/>
    </row>
    <row r="128" spans="2:13" ht="15.75" thickBot="1">
      <c r="B128"/>
      <c r="C128"/>
      <c r="D128"/>
      <c r="E128"/>
      <c r="F128"/>
      <c r="G128"/>
      <c r="H128"/>
      <c r="I128"/>
      <c r="J128"/>
      <c r="K128"/>
      <c r="L128"/>
      <c r="M128"/>
    </row>
    <row r="129" spans="2:13">
      <c r="B129"/>
      <c r="C129"/>
      <c r="D129"/>
      <c r="E129"/>
      <c r="F129"/>
      <c r="G129"/>
      <c r="H129"/>
      <c r="I129"/>
      <c r="J129"/>
      <c r="K129"/>
      <c r="L129"/>
      <c r="M129"/>
    </row>
    <row r="130" spans="2:13">
      <c r="B130"/>
      <c r="C130"/>
      <c r="D130"/>
      <c r="E130"/>
      <c r="F130"/>
      <c r="G130"/>
      <c r="H130"/>
      <c r="I130"/>
      <c r="J130"/>
      <c r="K130"/>
      <c r="L130"/>
      <c r="M130"/>
    </row>
    <row r="131" spans="2:13">
      <c r="B131"/>
      <c r="C131"/>
      <c r="D131"/>
      <c r="E131"/>
      <c r="F131"/>
      <c r="G131"/>
      <c r="H131"/>
      <c r="I131"/>
      <c r="J131"/>
      <c r="K131"/>
      <c r="L131"/>
      <c r="M131"/>
    </row>
    <row r="132" spans="2:13">
      <c r="B132"/>
      <c r="C132"/>
      <c r="D132"/>
      <c r="E132"/>
      <c r="F132"/>
      <c r="G132"/>
      <c r="H132"/>
      <c r="I132"/>
      <c r="J132"/>
      <c r="K132"/>
      <c r="L132"/>
      <c r="M132"/>
    </row>
    <row r="133" spans="2:13">
      <c r="B133"/>
      <c r="C133"/>
      <c r="D133"/>
      <c r="E133"/>
      <c r="F133"/>
      <c r="G133"/>
      <c r="H133"/>
      <c r="I133"/>
      <c r="J133"/>
      <c r="K133"/>
      <c r="L133"/>
      <c r="M133"/>
    </row>
    <row r="134" spans="2:13">
      <c r="B134"/>
      <c r="C134"/>
      <c r="D134"/>
      <c r="E134"/>
      <c r="F134"/>
      <c r="G134"/>
      <c r="H134"/>
      <c r="I134"/>
      <c r="J134"/>
      <c r="K134"/>
      <c r="L134"/>
      <c r="M134"/>
    </row>
    <row r="135" spans="2:13" ht="15.75" thickBot="1">
      <c r="B135"/>
      <c r="C135"/>
      <c r="D135"/>
      <c r="E135"/>
      <c r="F135"/>
      <c r="G135"/>
      <c r="H135"/>
      <c r="I135"/>
      <c r="J135"/>
      <c r="K135"/>
      <c r="L135"/>
      <c r="M135"/>
    </row>
    <row r="136" spans="2:13" ht="15.75" thickBot="1">
      <c r="B136"/>
      <c r="C136"/>
      <c r="D136"/>
      <c r="E136"/>
      <c r="F136"/>
      <c r="G136"/>
      <c r="H136"/>
      <c r="I136"/>
      <c r="J136"/>
      <c r="K136"/>
      <c r="L136"/>
      <c r="M136"/>
    </row>
    <row r="137" spans="2:13">
      <c r="B137"/>
      <c r="C137"/>
      <c r="D137"/>
      <c r="E137"/>
      <c r="F137"/>
      <c r="G137"/>
      <c r="H137"/>
      <c r="I137"/>
      <c r="J137"/>
      <c r="K137"/>
      <c r="L137"/>
      <c r="M137"/>
    </row>
    <row r="138" spans="2:13" ht="15.75" thickBot="1">
      <c r="B138"/>
      <c r="C138"/>
      <c r="D138"/>
      <c r="E138"/>
      <c r="F138"/>
      <c r="G138"/>
      <c r="H138"/>
      <c r="I138"/>
      <c r="J138"/>
      <c r="K138"/>
      <c r="L138"/>
      <c r="M138"/>
    </row>
    <row r="139" spans="2:13">
      <c r="B139"/>
      <c r="C139"/>
      <c r="D139"/>
      <c r="E139"/>
      <c r="F139"/>
      <c r="G139"/>
      <c r="H139"/>
      <c r="I139"/>
      <c r="J139"/>
      <c r="K139"/>
      <c r="L139"/>
      <c r="M139"/>
    </row>
    <row r="140" spans="2:13">
      <c r="B140"/>
      <c r="C140"/>
      <c r="D140"/>
      <c r="E140"/>
      <c r="F140"/>
      <c r="G140"/>
      <c r="H140"/>
      <c r="I140"/>
      <c r="J140"/>
      <c r="K140"/>
      <c r="L140"/>
      <c r="M140"/>
    </row>
    <row r="141" spans="2:13" ht="15.75" thickBot="1">
      <c r="B141"/>
      <c r="C141"/>
      <c r="D141"/>
      <c r="E141"/>
      <c r="F141"/>
      <c r="G141"/>
      <c r="H141"/>
      <c r="I141"/>
      <c r="J141"/>
      <c r="K141"/>
      <c r="L141"/>
      <c r="M141"/>
    </row>
    <row r="142" spans="2:13" ht="15.75" thickBot="1">
      <c r="B142"/>
      <c r="C142"/>
      <c r="D142"/>
      <c r="E142"/>
      <c r="F142"/>
      <c r="G142"/>
      <c r="H142"/>
      <c r="I142"/>
      <c r="J142"/>
      <c r="K142"/>
      <c r="L142"/>
      <c r="M142"/>
    </row>
    <row r="143" spans="2:13">
      <c r="B143"/>
      <c r="C143"/>
      <c r="D143"/>
      <c r="E143"/>
      <c r="F143"/>
      <c r="G143"/>
      <c r="H143"/>
      <c r="I143"/>
      <c r="J143"/>
      <c r="K143"/>
      <c r="L143"/>
      <c r="M143"/>
    </row>
    <row r="144" spans="2:13" ht="15.75" thickBot="1">
      <c r="B144"/>
      <c r="C144"/>
      <c r="D144"/>
      <c r="E144"/>
      <c r="F144"/>
      <c r="G144"/>
      <c r="H144"/>
      <c r="I144"/>
      <c r="J144"/>
      <c r="K144"/>
      <c r="L144"/>
      <c r="M144"/>
    </row>
    <row r="145" spans="2:13">
      <c r="B145"/>
      <c r="C145"/>
      <c r="D145"/>
      <c r="E145"/>
      <c r="F145"/>
      <c r="G145"/>
      <c r="H145"/>
      <c r="I145"/>
      <c r="J145"/>
      <c r="K145"/>
      <c r="L145"/>
      <c r="M145"/>
    </row>
    <row r="146" spans="2:13">
      <c r="B146"/>
      <c r="C146"/>
      <c r="D146"/>
      <c r="E146"/>
      <c r="F146"/>
      <c r="G146"/>
      <c r="H146"/>
      <c r="I146"/>
      <c r="J146"/>
      <c r="K146"/>
      <c r="L146"/>
      <c r="M146"/>
    </row>
    <row r="147" spans="2:13">
      <c r="B147"/>
      <c r="C147"/>
      <c r="D147"/>
      <c r="E147"/>
      <c r="F147"/>
      <c r="G147"/>
      <c r="H147"/>
      <c r="I147"/>
      <c r="J147"/>
      <c r="K147"/>
      <c r="L147"/>
      <c r="M147"/>
    </row>
    <row r="148" spans="2:13" ht="15.75" thickBot="1">
      <c r="B148"/>
      <c r="C148"/>
      <c r="D148"/>
      <c r="E148"/>
      <c r="F148"/>
      <c r="G148"/>
      <c r="H148"/>
      <c r="I148"/>
      <c r="J148"/>
      <c r="K148"/>
      <c r="L148"/>
      <c r="M148"/>
    </row>
    <row r="149" spans="2:13">
      <c r="B149"/>
      <c r="C149"/>
      <c r="D149"/>
      <c r="E149"/>
      <c r="F149"/>
      <c r="G149"/>
      <c r="H149"/>
      <c r="I149"/>
      <c r="J149"/>
      <c r="K149"/>
      <c r="L149"/>
      <c r="M149"/>
    </row>
    <row r="150" spans="2:13">
      <c r="B150"/>
      <c r="C150"/>
      <c r="D150"/>
      <c r="E150"/>
      <c r="F150"/>
      <c r="G150"/>
      <c r="H150"/>
      <c r="I150"/>
      <c r="J150"/>
      <c r="K150"/>
      <c r="L150"/>
      <c r="M150"/>
    </row>
    <row r="151" spans="2:13">
      <c r="B151"/>
      <c r="C151"/>
      <c r="D151"/>
      <c r="E151"/>
      <c r="F151"/>
      <c r="G151"/>
      <c r="H151"/>
      <c r="I151"/>
      <c r="J151"/>
      <c r="K151"/>
      <c r="L151"/>
      <c r="M151"/>
    </row>
    <row r="152" spans="2:13" ht="15.75" thickBot="1">
      <c r="B152"/>
      <c r="C152"/>
      <c r="D152"/>
      <c r="E152"/>
      <c r="F152"/>
      <c r="G152"/>
      <c r="H152"/>
      <c r="I152"/>
      <c r="J152"/>
      <c r="K152"/>
      <c r="L152"/>
      <c r="M152"/>
    </row>
    <row r="153" spans="2:13" ht="15.75" thickBot="1">
      <c r="B153"/>
      <c r="C153"/>
      <c r="D153"/>
      <c r="E153"/>
      <c r="F153"/>
      <c r="G153"/>
      <c r="H153"/>
      <c r="I153"/>
      <c r="J153"/>
      <c r="K153"/>
      <c r="L153"/>
      <c r="M153"/>
    </row>
    <row r="154" spans="2:13">
      <c r="B154"/>
      <c r="C154"/>
      <c r="D154"/>
      <c r="E154"/>
      <c r="F154"/>
      <c r="G154"/>
      <c r="H154"/>
      <c r="I154"/>
      <c r="J154"/>
      <c r="K154"/>
      <c r="L154"/>
      <c r="M154"/>
    </row>
    <row r="155" spans="2:13">
      <c r="B155"/>
      <c r="C155"/>
      <c r="D155"/>
      <c r="E155"/>
      <c r="F155"/>
      <c r="G155"/>
      <c r="H155"/>
      <c r="I155"/>
      <c r="J155"/>
      <c r="K155"/>
      <c r="L155"/>
      <c r="M155"/>
    </row>
    <row r="156" spans="2:13" ht="15.75" thickBot="1">
      <c r="B156"/>
      <c r="C156"/>
      <c r="D156"/>
      <c r="E156"/>
      <c r="F156"/>
      <c r="G156"/>
      <c r="H156"/>
      <c r="I156"/>
      <c r="J156"/>
      <c r="K156"/>
      <c r="L156"/>
      <c r="M156"/>
    </row>
    <row r="157" spans="2:13">
      <c r="B157"/>
      <c r="C157"/>
      <c r="D157"/>
      <c r="E157"/>
      <c r="F157"/>
      <c r="G157"/>
      <c r="H157"/>
      <c r="I157"/>
      <c r="J157"/>
      <c r="K157"/>
      <c r="L157"/>
      <c r="M157"/>
    </row>
    <row r="158" spans="2:13">
      <c r="B158"/>
      <c r="C158"/>
      <c r="D158"/>
      <c r="E158"/>
      <c r="F158"/>
      <c r="G158"/>
      <c r="H158"/>
      <c r="I158"/>
      <c r="J158"/>
      <c r="K158"/>
      <c r="L158"/>
      <c r="M158"/>
    </row>
    <row r="159" spans="2:13">
      <c r="B159"/>
      <c r="C159"/>
      <c r="D159"/>
      <c r="E159"/>
      <c r="F159"/>
      <c r="G159"/>
      <c r="H159"/>
      <c r="I159"/>
      <c r="J159"/>
      <c r="K159"/>
      <c r="L159"/>
      <c r="M159"/>
    </row>
    <row r="160" spans="2:13">
      <c r="B160"/>
      <c r="C160"/>
      <c r="D160"/>
      <c r="E160"/>
      <c r="F160"/>
      <c r="G160"/>
      <c r="H160"/>
      <c r="I160"/>
      <c r="J160"/>
      <c r="K160"/>
      <c r="L160"/>
      <c r="M160"/>
    </row>
    <row r="161" spans="2:13">
      <c r="B161"/>
      <c r="C161"/>
      <c r="D161"/>
      <c r="E161"/>
      <c r="F161"/>
      <c r="G161"/>
      <c r="H161"/>
      <c r="I161"/>
      <c r="J161"/>
      <c r="K161"/>
      <c r="L161"/>
      <c r="M161"/>
    </row>
    <row r="162" spans="2:13">
      <c r="B162"/>
      <c r="C162"/>
      <c r="D162"/>
      <c r="E162"/>
      <c r="F162"/>
      <c r="G162"/>
      <c r="H162"/>
      <c r="I162"/>
      <c r="J162"/>
      <c r="K162"/>
      <c r="L162"/>
      <c r="M162"/>
    </row>
    <row r="163" spans="2:13">
      <c r="B163"/>
      <c r="C163"/>
      <c r="D163"/>
      <c r="E163"/>
      <c r="F163"/>
      <c r="G163"/>
      <c r="H163"/>
      <c r="I163"/>
      <c r="J163"/>
      <c r="K163"/>
      <c r="L163"/>
      <c r="M163"/>
    </row>
    <row r="164" spans="2:13" ht="15.75" thickBot="1">
      <c r="B164"/>
      <c r="C164"/>
      <c r="D164"/>
      <c r="E164"/>
      <c r="F164"/>
      <c r="G164"/>
      <c r="H164"/>
      <c r="I164"/>
      <c r="J164"/>
      <c r="K164"/>
      <c r="L164"/>
      <c r="M164"/>
    </row>
    <row r="165" spans="2:13">
      <c r="B165"/>
      <c r="C165"/>
      <c r="D165"/>
      <c r="E165"/>
      <c r="F165"/>
      <c r="G165"/>
      <c r="H165"/>
      <c r="I165"/>
      <c r="J165"/>
      <c r="K165"/>
      <c r="L165"/>
      <c r="M165"/>
    </row>
    <row r="166" spans="2:13">
      <c r="B166"/>
      <c r="C166"/>
      <c r="D166"/>
      <c r="E166"/>
      <c r="F166"/>
      <c r="G166"/>
      <c r="H166"/>
      <c r="I166"/>
      <c r="J166"/>
      <c r="K166"/>
      <c r="L166"/>
      <c r="M166"/>
    </row>
    <row r="167" spans="2:13" ht="15.75" thickBot="1">
      <c r="B167"/>
      <c r="C167"/>
      <c r="D167"/>
      <c r="E167"/>
      <c r="F167"/>
      <c r="G167"/>
      <c r="H167"/>
      <c r="I167"/>
      <c r="J167"/>
      <c r="K167"/>
      <c r="L167"/>
      <c r="M167"/>
    </row>
    <row r="168" spans="2:13" ht="15.75" thickBot="1">
      <c r="B168"/>
      <c r="C168"/>
      <c r="D168"/>
      <c r="E168"/>
      <c r="F168"/>
      <c r="G168"/>
      <c r="H168"/>
      <c r="I168"/>
      <c r="J168"/>
      <c r="K168"/>
      <c r="L168"/>
      <c r="M168"/>
    </row>
    <row r="169" spans="2:13">
      <c r="B169"/>
      <c r="C169"/>
      <c r="D169"/>
      <c r="E169"/>
      <c r="F169"/>
      <c r="G169"/>
      <c r="H169"/>
      <c r="I169"/>
      <c r="J169"/>
      <c r="K169"/>
      <c r="L169"/>
      <c r="M169"/>
    </row>
    <row r="170" spans="2:13" ht="15.75" thickBot="1">
      <c r="B170"/>
      <c r="C170"/>
      <c r="D170"/>
      <c r="E170"/>
      <c r="F170"/>
      <c r="G170"/>
      <c r="H170"/>
      <c r="I170"/>
      <c r="J170"/>
      <c r="K170"/>
      <c r="L170"/>
      <c r="M170"/>
    </row>
    <row r="171" spans="2:13">
      <c r="B171"/>
      <c r="C171"/>
      <c r="D171"/>
      <c r="E171"/>
      <c r="F171"/>
      <c r="G171"/>
      <c r="H171"/>
      <c r="I171"/>
      <c r="J171"/>
      <c r="K171"/>
      <c r="L171"/>
      <c r="M171"/>
    </row>
    <row r="172" spans="2:13" ht="15.75" thickBot="1">
      <c r="B172"/>
      <c r="C172"/>
      <c r="D172"/>
      <c r="E172"/>
      <c r="F172"/>
      <c r="G172"/>
      <c r="H172"/>
      <c r="I172"/>
      <c r="J172"/>
      <c r="K172"/>
      <c r="L172"/>
      <c r="M172"/>
    </row>
    <row r="173" spans="2:13">
      <c r="B173"/>
      <c r="C173"/>
      <c r="D173"/>
      <c r="E173"/>
      <c r="F173"/>
      <c r="G173"/>
      <c r="H173"/>
      <c r="I173"/>
      <c r="J173"/>
      <c r="K173"/>
      <c r="L173"/>
      <c r="M173"/>
    </row>
    <row r="174" spans="2:13" ht="15.75" thickBot="1">
      <c r="B174"/>
      <c r="C174"/>
      <c r="D174"/>
      <c r="E174"/>
      <c r="F174"/>
      <c r="G174"/>
      <c r="H174"/>
      <c r="I174"/>
      <c r="J174"/>
      <c r="K174"/>
      <c r="L174"/>
      <c r="M174"/>
    </row>
    <row r="175" spans="2:13">
      <c r="B175"/>
      <c r="C175"/>
      <c r="D175"/>
      <c r="E175"/>
      <c r="F175"/>
      <c r="G175"/>
      <c r="H175"/>
      <c r="I175"/>
      <c r="J175"/>
      <c r="K175"/>
      <c r="L175"/>
      <c r="M175"/>
    </row>
    <row r="176" spans="2:13" ht="15.75" thickBot="1">
      <c r="B176"/>
      <c r="C176"/>
      <c r="D176"/>
      <c r="E176"/>
      <c r="F176"/>
      <c r="G176"/>
      <c r="H176"/>
      <c r="I176"/>
      <c r="J176"/>
      <c r="K176"/>
      <c r="L176"/>
      <c r="M176"/>
    </row>
    <row r="177" spans="2:13" ht="15.75" thickBot="1">
      <c r="B177"/>
      <c r="C177"/>
      <c r="D177"/>
      <c r="E177"/>
      <c r="F177"/>
      <c r="G177"/>
      <c r="H177"/>
      <c r="I177"/>
      <c r="J177"/>
      <c r="K177"/>
      <c r="L177"/>
      <c r="M177"/>
    </row>
    <row r="178" spans="2:13">
      <c r="B178"/>
      <c r="C178"/>
      <c r="D178"/>
      <c r="E178"/>
      <c r="F178"/>
      <c r="G178"/>
      <c r="H178"/>
      <c r="I178"/>
      <c r="J178"/>
      <c r="K178"/>
      <c r="L178"/>
      <c r="M178"/>
    </row>
    <row r="179" spans="2:13" ht="15.75" thickBot="1">
      <c r="B179"/>
      <c r="C179"/>
      <c r="D179"/>
      <c r="E179"/>
      <c r="F179"/>
      <c r="G179"/>
      <c r="H179"/>
      <c r="I179"/>
      <c r="J179"/>
      <c r="K179"/>
      <c r="L179"/>
      <c r="M179"/>
    </row>
    <row r="180" spans="2:13">
      <c r="B180"/>
      <c r="C180"/>
      <c r="D180"/>
      <c r="E180"/>
      <c r="F180"/>
      <c r="G180"/>
      <c r="H180"/>
      <c r="I180"/>
      <c r="J180"/>
      <c r="K180"/>
      <c r="L180"/>
      <c r="M180"/>
    </row>
    <row r="181" spans="2:13" ht="15.75" thickBot="1">
      <c r="B181"/>
      <c r="C181"/>
      <c r="D181"/>
      <c r="E181"/>
      <c r="F181"/>
      <c r="G181"/>
      <c r="H181"/>
      <c r="I181"/>
      <c r="J181"/>
      <c r="K181"/>
      <c r="L181"/>
      <c r="M181"/>
    </row>
    <row r="182" spans="2:13" ht="15.75" thickBot="1">
      <c r="B182"/>
      <c r="C182"/>
      <c r="D182"/>
      <c r="E182"/>
      <c r="F182"/>
      <c r="G182"/>
      <c r="H182"/>
      <c r="I182"/>
      <c r="J182"/>
      <c r="K182"/>
      <c r="L182"/>
      <c r="M182"/>
    </row>
    <row r="183" spans="2:13">
      <c r="B183"/>
      <c r="C183"/>
      <c r="D183"/>
      <c r="E183"/>
      <c r="F183"/>
      <c r="G183"/>
      <c r="H183"/>
      <c r="I183"/>
      <c r="J183"/>
      <c r="K183"/>
      <c r="L183"/>
      <c r="M183"/>
    </row>
    <row r="184" spans="2:13" ht="15.75" thickBot="1">
      <c r="B184"/>
      <c r="C184"/>
      <c r="D184"/>
      <c r="E184"/>
      <c r="F184"/>
      <c r="G184"/>
      <c r="H184"/>
      <c r="I184"/>
      <c r="J184"/>
      <c r="K184"/>
      <c r="L184"/>
      <c r="M184"/>
    </row>
    <row r="185" spans="2:13" ht="15.75" thickBot="1">
      <c r="B185"/>
      <c r="C185"/>
      <c r="D185"/>
      <c r="E185"/>
      <c r="F185"/>
      <c r="G185"/>
      <c r="H185"/>
      <c r="I185"/>
      <c r="J185"/>
      <c r="K185"/>
      <c r="L185"/>
      <c r="M185"/>
    </row>
    <row r="186" spans="2:13">
      <c r="B186"/>
      <c r="C186"/>
      <c r="D186"/>
      <c r="E186"/>
      <c r="F186"/>
      <c r="G186"/>
      <c r="H186"/>
      <c r="I186"/>
      <c r="J186"/>
      <c r="K186"/>
      <c r="L186"/>
      <c r="M186"/>
    </row>
    <row r="187" spans="2:13">
      <c r="B187"/>
      <c r="C187"/>
      <c r="D187"/>
      <c r="E187"/>
      <c r="F187"/>
      <c r="G187"/>
      <c r="H187"/>
      <c r="I187"/>
      <c r="J187"/>
      <c r="K187"/>
      <c r="L187"/>
      <c r="M187"/>
    </row>
    <row r="188" spans="2:13">
      <c r="B188"/>
      <c r="C188"/>
      <c r="D188"/>
      <c r="E188"/>
      <c r="F188"/>
      <c r="G188"/>
      <c r="H188"/>
      <c r="I188"/>
      <c r="J188"/>
      <c r="K188"/>
      <c r="L188"/>
      <c r="M188"/>
    </row>
    <row r="189" spans="2:13">
      <c r="B189"/>
      <c r="C189"/>
      <c r="D189"/>
      <c r="E189"/>
      <c r="F189"/>
      <c r="G189"/>
      <c r="H189"/>
      <c r="I189"/>
      <c r="J189"/>
      <c r="K189"/>
      <c r="L189"/>
      <c r="M189"/>
    </row>
    <row r="190" spans="2:13" ht="15.75" thickBot="1">
      <c r="B190"/>
      <c r="C190"/>
      <c r="D190"/>
      <c r="E190"/>
      <c r="F190"/>
      <c r="G190"/>
      <c r="H190"/>
      <c r="I190"/>
      <c r="J190"/>
      <c r="K190"/>
      <c r="L190"/>
      <c r="M190"/>
    </row>
    <row r="191" spans="2:13" ht="15.75" thickBot="1">
      <c r="B191"/>
      <c r="C191"/>
      <c r="D191"/>
      <c r="E191"/>
      <c r="F191"/>
      <c r="G191"/>
      <c r="H191"/>
      <c r="I191"/>
      <c r="J191"/>
      <c r="K191"/>
      <c r="L191"/>
      <c r="M191"/>
    </row>
    <row r="192" spans="2:13">
      <c r="B192"/>
      <c r="C192"/>
      <c r="D192"/>
      <c r="E192"/>
      <c r="F192"/>
      <c r="G192"/>
      <c r="H192"/>
      <c r="I192"/>
      <c r="J192"/>
      <c r="K192"/>
      <c r="L192"/>
      <c r="M192"/>
    </row>
    <row r="193" spans="2:13" ht="15.75" thickBot="1">
      <c r="B193"/>
      <c r="C193"/>
      <c r="D193"/>
      <c r="E193"/>
      <c r="F193"/>
      <c r="G193"/>
      <c r="H193"/>
      <c r="I193"/>
      <c r="J193"/>
      <c r="K193"/>
      <c r="L193"/>
      <c r="M193"/>
    </row>
    <row r="194" spans="2:13">
      <c r="B194"/>
      <c r="C194"/>
      <c r="D194"/>
      <c r="E194"/>
      <c r="F194"/>
      <c r="G194"/>
      <c r="H194"/>
      <c r="I194"/>
      <c r="J194"/>
      <c r="K194"/>
      <c r="L194"/>
      <c r="M194"/>
    </row>
    <row r="195" spans="2:13" ht="15.75" thickBot="1">
      <c r="B195"/>
      <c r="C195"/>
      <c r="D195"/>
      <c r="E195"/>
      <c r="F195"/>
      <c r="G195"/>
      <c r="H195"/>
      <c r="I195"/>
      <c r="J195"/>
      <c r="K195"/>
      <c r="L195"/>
      <c r="M195"/>
    </row>
    <row r="196" spans="2:13" ht="15.75" thickBot="1">
      <c r="B196"/>
      <c r="C196"/>
      <c r="D196"/>
      <c r="E196"/>
      <c r="F196"/>
      <c r="G196"/>
      <c r="H196"/>
      <c r="I196"/>
      <c r="J196"/>
      <c r="K196"/>
      <c r="L196"/>
      <c r="M196"/>
    </row>
    <row r="197" spans="2:13">
      <c r="B197"/>
      <c r="C197"/>
      <c r="D197"/>
      <c r="E197"/>
      <c r="F197"/>
      <c r="G197"/>
      <c r="H197"/>
      <c r="I197"/>
      <c r="J197"/>
      <c r="K197"/>
      <c r="L197"/>
      <c r="M197"/>
    </row>
    <row r="198" spans="2:13">
      <c r="B198"/>
      <c r="C198"/>
      <c r="D198"/>
      <c r="E198"/>
      <c r="F198"/>
      <c r="G198"/>
      <c r="H198"/>
      <c r="I198"/>
      <c r="J198"/>
      <c r="K198"/>
      <c r="L198"/>
      <c r="M198"/>
    </row>
    <row r="199" spans="2:13">
      <c r="B199"/>
      <c r="C199"/>
      <c r="D199"/>
      <c r="E199"/>
      <c r="F199"/>
      <c r="G199"/>
      <c r="H199"/>
      <c r="I199"/>
      <c r="J199"/>
      <c r="K199"/>
      <c r="L199"/>
      <c r="M199"/>
    </row>
    <row r="200" spans="2:13">
      <c r="B200"/>
      <c r="C200"/>
      <c r="D200"/>
      <c r="E200"/>
      <c r="F200"/>
      <c r="G200"/>
      <c r="H200"/>
      <c r="I200"/>
      <c r="J200"/>
      <c r="K200"/>
      <c r="L200"/>
      <c r="M200"/>
    </row>
    <row r="201" spans="2:13">
      <c r="B201"/>
      <c r="C201"/>
      <c r="D201"/>
      <c r="E201"/>
      <c r="F201"/>
      <c r="G201"/>
      <c r="H201"/>
      <c r="I201"/>
      <c r="J201"/>
      <c r="K201"/>
      <c r="L201"/>
      <c r="M201"/>
    </row>
    <row r="202" spans="2:13">
      <c r="B202"/>
      <c r="C202"/>
      <c r="D202"/>
      <c r="E202"/>
      <c r="F202"/>
      <c r="G202"/>
      <c r="H202"/>
      <c r="I202"/>
      <c r="J202"/>
      <c r="K202"/>
      <c r="L202"/>
      <c r="M202"/>
    </row>
    <row r="203" spans="2:13">
      <c r="B203"/>
      <c r="C203"/>
      <c r="D203"/>
      <c r="E203"/>
      <c r="F203"/>
      <c r="G203"/>
      <c r="H203"/>
      <c r="I203"/>
      <c r="J203"/>
      <c r="K203"/>
      <c r="L203"/>
      <c r="M203"/>
    </row>
    <row r="204" spans="2:13" ht="15.75" thickBot="1">
      <c r="B204"/>
      <c r="C204"/>
      <c r="D204"/>
      <c r="E204"/>
      <c r="F204"/>
      <c r="G204"/>
      <c r="H204"/>
      <c r="I204"/>
      <c r="J204"/>
      <c r="K204"/>
      <c r="L204"/>
      <c r="M204"/>
    </row>
    <row r="205" spans="2:13" ht="15.75" thickBot="1">
      <c r="B205"/>
      <c r="C205"/>
      <c r="D205"/>
      <c r="E205"/>
      <c r="F205"/>
      <c r="G205"/>
      <c r="H205"/>
      <c r="I205"/>
      <c r="J205"/>
      <c r="K205"/>
      <c r="L205"/>
      <c r="M205"/>
    </row>
    <row r="206" spans="2:13">
      <c r="B206"/>
      <c r="C206"/>
      <c r="D206"/>
      <c r="E206"/>
      <c r="F206"/>
      <c r="G206"/>
      <c r="H206"/>
      <c r="I206"/>
      <c r="J206"/>
      <c r="K206"/>
      <c r="L206"/>
      <c r="M206"/>
    </row>
    <row r="207" spans="2:13">
      <c r="B207"/>
      <c r="C207"/>
      <c r="D207"/>
      <c r="E207"/>
      <c r="F207"/>
      <c r="G207"/>
      <c r="H207"/>
      <c r="I207"/>
      <c r="J207"/>
      <c r="K207"/>
      <c r="L207"/>
      <c r="M207"/>
    </row>
    <row r="208" spans="2:13" ht="15.75" thickBot="1">
      <c r="B208"/>
      <c r="C208"/>
      <c r="D208"/>
      <c r="E208"/>
      <c r="F208"/>
      <c r="G208"/>
      <c r="H208"/>
      <c r="I208"/>
      <c r="J208"/>
      <c r="K208"/>
      <c r="L208"/>
      <c r="M208"/>
    </row>
    <row r="209" spans="2:13">
      <c r="B209"/>
      <c r="C209"/>
      <c r="D209"/>
      <c r="E209"/>
      <c r="F209"/>
      <c r="G209"/>
      <c r="H209"/>
      <c r="I209"/>
      <c r="J209"/>
      <c r="K209"/>
      <c r="L209"/>
      <c r="M209"/>
    </row>
    <row r="210" spans="2:13">
      <c r="B210"/>
      <c r="C210"/>
      <c r="D210"/>
      <c r="E210"/>
      <c r="F210"/>
      <c r="G210"/>
      <c r="H210"/>
      <c r="I210"/>
      <c r="J210"/>
      <c r="K210"/>
      <c r="L210"/>
      <c r="M210"/>
    </row>
    <row r="211" spans="2:13">
      <c r="B211"/>
      <c r="C211"/>
      <c r="D211"/>
      <c r="E211"/>
      <c r="F211"/>
      <c r="G211"/>
      <c r="H211"/>
      <c r="I211"/>
      <c r="J211"/>
      <c r="K211"/>
      <c r="L211"/>
      <c r="M211"/>
    </row>
    <row r="212" spans="2:13" ht="15.75" thickBot="1">
      <c r="B212"/>
      <c r="C212"/>
      <c r="D212"/>
      <c r="E212"/>
      <c r="F212"/>
      <c r="G212"/>
      <c r="H212"/>
      <c r="I212"/>
      <c r="J212"/>
      <c r="K212"/>
      <c r="L212"/>
      <c r="M212"/>
    </row>
    <row r="213" spans="2:13" ht="15.75" thickBot="1">
      <c r="B213"/>
      <c r="C213"/>
      <c r="D213"/>
      <c r="E213"/>
      <c r="F213"/>
      <c r="G213"/>
      <c r="H213"/>
      <c r="I213"/>
      <c r="J213"/>
      <c r="K213"/>
      <c r="L213"/>
      <c r="M213"/>
    </row>
    <row r="214" spans="2:13">
      <c r="B214"/>
      <c r="C214"/>
      <c r="D214"/>
      <c r="E214"/>
      <c r="F214"/>
      <c r="G214"/>
      <c r="H214"/>
      <c r="I214"/>
      <c r="J214"/>
      <c r="K214"/>
      <c r="L214"/>
      <c r="M214"/>
    </row>
    <row r="215" spans="2:13" ht="15.75" thickBot="1">
      <c r="B215"/>
      <c r="C215"/>
      <c r="D215"/>
      <c r="E215"/>
      <c r="F215"/>
      <c r="G215"/>
      <c r="H215"/>
      <c r="I215"/>
      <c r="J215"/>
      <c r="K215"/>
      <c r="L215"/>
      <c r="M215"/>
    </row>
    <row r="216" spans="2:13" ht="15.75" thickBot="1">
      <c r="B216"/>
      <c r="C216"/>
      <c r="D216"/>
      <c r="E216"/>
      <c r="F216"/>
      <c r="G216"/>
      <c r="H216"/>
      <c r="I216"/>
      <c r="J216"/>
      <c r="K216"/>
      <c r="L216"/>
      <c r="M216"/>
    </row>
    <row r="217" spans="2:13">
      <c r="B217"/>
      <c r="C217"/>
      <c r="D217"/>
      <c r="E217"/>
      <c r="F217"/>
      <c r="G217"/>
      <c r="H217"/>
      <c r="I217"/>
      <c r="J217"/>
      <c r="K217"/>
      <c r="L217"/>
      <c r="M217"/>
    </row>
    <row r="218" spans="2:13">
      <c r="B218"/>
      <c r="C218"/>
      <c r="D218"/>
      <c r="E218"/>
      <c r="F218"/>
      <c r="G218"/>
      <c r="H218"/>
      <c r="I218"/>
      <c r="J218"/>
      <c r="K218"/>
      <c r="L218"/>
      <c r="M218"/>
    </row>
    <row r="219" spans="2:13" ht="15.75" thickBot="1">
      <c r="B219"/>
      <c r="C219"/>
      <c r="D219"/>
      <c r="E219"/>
      <c r="F219"/>
      <c r="G219"/>
      <c r="H219"/>
      <c r="I219"/>
      <c r="J219"/>
      <c r="K219"/>
      <c r="L219"/>
      <c r="M219"/>
    </row>
    <row r="220" spans="2:13" ht="15.75" thickBot="1">
      <c r="B220"/>
      <c r="C220"/>
      <c r="D220"/>
      <c r="E220"/>
      <c r="F220"/>
      <c r="G220"/>
      <c r="H220"/>
      <c r="I220"/>
      <c r="J220"/>
      <c r="K220"/>
      <c r="L220"/>
      <c r="M220"/>
    </row>
    <row r="221" spans="2:13">
      <c r="B221"/>
      <c r="C221"/>
      <c r="D221"/>
      <c r="E221"/>
      <c r="F221"/>
      <c r="G221"/>
      <c r="H221"/>
      <c r="I221"/>
      <c r="J221"/>
      <c r="K221"/>
      <c r="L221"/>
      <c r="M221"/>
    </row>
    <row r="222" spans="2:13">
      <c r="B222"/>
      <c r="C222"/>
      <c r="D222"/>
      <c r="E222"/>
      <c r="F222"/>
      <c r="G222"/>
      <c r="H222"/>
      <c r="I222"/>
      <c r="J222"/>
      <c r="K222"/>
      <c r="L222"/>
      <c r="M222"/>
    </row>
    <row r="223" spans="2:13">
      <c r="B223"/>
      <c r="C223"/>
      <c r="D223"/>
      <c r="E223"/>
      <c r="F223"/>
      <c r="G223"/>
      <c r="H223"/>
      <c r="I223"/>
      <c r="J223"/>
      <c r="K223"/>
      <c r="L223"/>
      <c r="M223"/>
    </row>
    <row r="224" spans="2:13" ht="15.75" thickBot="1">
      <c r="B224"/>
      <c r="C224"/>
      <c r="D224"/>
      <c r="E224"/>
      <c r="F224"/>
      <c r="G224"/>
      <c r="H224"/>
      <c r="I224"/>
      <c r="J224"/>
      <c r="K224"/>
      <c r="L224"/>
      <c r="M224"/>
    </row>
    <row r="225" spans="2:13" ht="15.75" thickBot="1">
      <c r="B225"/>
      <c r="C225"/>
      <c r="D225"/>
      <c r="E225"/>
      <c r="F225"/>
      <c r="G225"/>
      <c r="H225"/>
      <c r="I225"/>
      <c r="J225"/>
      <c r="K225"/>
      <c r="L225"/>
      <c r="M225"/>
    </row>
    <row r="226" spans="2:13">
      <c r="B226"/>
      <c r="C226"/>
      <c r="D226"/>
      <c r="E226"/>
      <c r="F226"/>
      <c r="G226"/>
      <c r="H226"/>
      <c r="I226"/>
      <c r="J226"/>
      <c r="K226"/>
      <c r="L226"/>
      <c r="M226"/>
    </row>
    <row r="227" spans="2:13">
      <c r="B227"/>
      <c r="C227"/>
      <c r="D227"/>
      <c r="E227"/>
      <c r="F227"/>
      <c r="G227"/>
      <c r="H227"/>
      <c r="I227"/>
      <c r="J227"/>
      <c r="K227"/>
      <c r="L227"/>
      <c r="M227"/>
    </row>
    <row r="228" spans="2:13">
      <c r="B228"/>
      <c r="C228"/>
      <c r="D228"/>
      <c r="E228"/>
      <c r="F228"/>
      <c r="G228"/>
      <c r="H228"/>
      <c r="I228"/>
      <c r="J228"/>
      <c r="K228"/>
      <c r="L228"/>
      <c r="M228"/>
    </row>
    <row r="229" spans="2:13">
      <c r="B229"/>
      <c r="C229"/>
      <c r="D229"/>
      <c r="E229"/>
      <c r="F229"/>
      <c r="G229"/>
      <c r="H229"/>
      <c r="I229"/>
      <c r="J229"/>
      <c r="K229"/>
      <c r="L229"/>
      <c r="M229"/>
    </row>
    <row r="230" spans="2:13" ht="15.75" thickBot="1">
      <c r="B230"/>
      <c r="C230"/>
      <c r="D230"/>
      <c r="E230"/>
      <c r="F230"/>
      <c r="G230"/>
      <c r="H230"/>
      <c r="I230"/>
      <c r="J230"/>
      <c r="K230"/>
      <c r="L230"/>
      <c r="M230"/>
    </row>
    <row r="231" spans="2:13" ht="15.75" thickBot="1">
      <c r="B231"/>
      <c r="C231"/>
      <c r="D231"/>
      <c r="E231"/>
      <c r="F231"/>
      <c r="G231"/>
      <c r="H231"/>
      <c r="I231"/>
      <c r="J231"/>
      <c r="K231"/>
      <c r="L231"/>
      <c r="M231"/>
    </row>
    <row r="232" spans="2:13">
      <c r="B232"/>
      <c r="C232"/>
      <c r="D232"/>
      <c r="E232"/>
      <c r="F232"/>
      <c r="G232"/>
      <c r="H232"/>
      <c r="I232"/>
      <c r="J232"/>
      <c r="K232"/>
      <c r="L232"/>
      <c r="M232"/>
    </row>
    <row r="233" spans="2:13" ht="15.75" thickBot="1">
      <c r="B233"/>
      <c r="C233"/>
      <c r="D233"/>
      <c r="E233"/>
      <c r="F233"/>
      <c r="G233"/>
      <c r="H233"/>
      <c r="I233"/>
      <c r="J233"/>
      <c r="K233"/>
      <c r="L233"/>
      <c r="M233"/>
    </row>
    <row r="234" spans="2:13">
      <c r="B234"/>
      <c r="C234"/>
      <c r="D234"/>
      <c r="E234"/>
      <c r="F234"/>
      <c r="G234"/>
      <c r="H234"/>
      <c r="I234"/>
      <c r="J234"/>
      <c r="K234"/>
      <c r="L234"/>
      <c r="M234"/>
    </row>
    <row r="235" spans="2:13">
      <c r="B235"/>
      <c r="C235"/>
      <c r="D235"/>
      <c r="E235"/>
      <c r="F235"/>
      <c r="G235"/>
      <c r="H235"/>
      <c r="I235"/>
      <c r="J235"/>
      <c r="K235"/>
      <c r="L235"/>
      <c r="M235"/>
    </row>
    <row r="236" spans="2:13" ht="15.75" thickBot="1">
      <c r="B236"/>
      <c r="C236"/>
      <c r="D236"/>
      <c r="E236"/>
      <c r="F236"/>
      <c r="G236"/>
      <c r="H236"/>
      <c r="I236"/>
      <c r="J236"/>
      <c r="K236"/>
      <c r="L236"/>
      <c r="M236"/>
    </row>
    <row r="237" spans="2:13" ht="15.75" thickBot="1">
      <c r="B237"/>
      <c r="C237"/>
      <c r="D237"/>
      <c r="E237"/>
      <c r="F237"/>
      <c r="G237"/>
      <c r="H237"/>
      <c r="I237"/>
      <c r="J237"/>
      <c r="K237"/>
      <c r="L237"/>
      <c r="M237"/>
    </row>
    <row r="238" spans="2:13">
      <c r="B238"/>
      <c r="C238"/>
      <c r="D238"/>
      <c r="E238"/>
      <c r="F238"/>
      <c r="G238"/>
      <c r="H238"/>
      <c r="I238"/>
      <c r="J238"/>
      <c r="K238"/>
      <c r="L238"/>
      <c r="M238"/>
    </row>
    <row r="239" spans="2:13" ht="15.75" thickBot="1">
      <c r="B239"/>
      <c r="C239"/>
      <c r="D239"/>
      <c r="E239"/>
      <c r="F239"/>
      <c r="G239"/>
      <c r="H239"/>
      <c r="I239"/>
      <c r="J239"/>
      <c r="K239"/>
      <c r="L239"/>
      <c r="M239"/>
    </row>
    <row r="240" spans="2:13">
      <c r="B240"/>
      <c r="C240"/>
      <c r="D240"/>
      <c r="E240"/>
      <c r="F240"/>
      <c r="G240"/>
      <c r="H240"/>
      <c r="I240"/>
      <c r="J240"/>
      <c r="K240"/>
      <c r="L240"/>
      <c r="M240"/>
    </row>
    <row r="241" spans="2:13">
      <c r="B241"/>
      <c r="C241"/>
      <c r="D241"/>
      <c r="E241"/>
      <c r="F241"/>
      <c r="G241"/>
      <c r="H241"/>
      <c r="I241"/>
      <c r="J241"/>
      <c r="K241"/>
      <c r="L241"/>
      <c r="M241"/>
    </row>
    <row r="242" spans="2:13">
      <c r="B242"/>
      <c r="C242"/>
      <c r="D242"/>
      <c r="E242"/>
      <c r="F242"/>
      <c r="G242"/>
      <c r="H242"/>
      <c r="I242"/>
      <c r="J242"/>
      <c r="K242"/>
      <c r="L242"/>
      <c r="M242"/>
    </row>
    <row r="243" spans="2:13" ht="15.75" thickBot="1">
      <c r="B243"/>
      <c r="C243"/>
      <c r="D243"/>
      <c r="E243"/>
      <c r="F243"/>
      <c r="G243"/>
      <c r="H243"/>
      <c r="I243"/>
      <c r="J243"/>
      <c r="K243"/>
      <c r="L243"/>
      <c r="M243"/>
    </row>
    <row r="244" spans="2:13">
      <c r="B244"/>
      <c r="C244"/>
      <c r="D244"/>
      <c r="E244"/>
      <c r="F244"/>
      <c r="G244"/>
      <c r="H244"/>
      <c r="I244"/>
      <c r="J244"/>
      <c r="K244"/>
      <c r="L244"/>
      <c r="M244"/>
    </row>
    <row r="245" spans="2:13">
      <c r="B245"/>
      <c r="C245"/>
      <c r="D245"/>
      <c r="E245"/>
      <c r="F245"/>
      <c r="G245"/>
      <c r="H245"/>
      <c r="I245"/>
      <c r="J245"/>
      <c r="K245"/>
      <c r="L245"/>
      <c r="M245"/>
    </row>
    <row r="246" spans="2:13" ht="15.75" thickBot="1">
      <c r="B246"/>
      <c r="C246"/>
      <c r="D246"/>
      <c r="E246"/>
      <c r="F246"/>
      <c r="G246"/>
      <c r="H246"/>
      <c r="I246"/>
      <c r="J246"/>
      <c r="K246"/>
      <c r="L246"/>
      <c r="M246"/>
    </row>
    <row r="247" spans="2:13">
      <c r="B247"/>
      <c r="C247"/>
      <c r="D247"/>
      <c r="E247"/>
      <c r="F247"/>
      <c r="G247"/>
      <c r="H247"/>
      <c r="I247"/>
      <c r="J247"/>
      <c r="K247"/>
      <c r="L247"/>
      <c r="M247"/>
    </row>
    <row r="248" spans="2:13" ht="15.75" thickBot="1">
      <c r="B248"/>
      <c r="C248"/>
      <c r="D248"/>
      <c r="E248"/>
      <c r="F248"/>
      <c r="G248"/>
      <c r="H248"/>
      <c r="I248"/>
      <c r="J248"/>
      <c r="K248"/>
      <c r="L248"/>
      <c r="M248"/>
    </row>
    <row r="249" spans="2:13">
      <c r="B249"/>
      <c r="C249"/>
      <c r="D249"/>
      <c r="E249"/>
      <c r="F249"/>
      <c r="G249"/>
      <c r="H249"/>
      <c r="I249"/>
      <c r="J249"/>
      <c r="K249"/>
      <c r="L249"/>
      <c r="M249"/>
    </row>
    <row r="250" spans="2:13">
      <c r="B250"/>
      <c r="C250"/>
      <c r="D250"/>
      <c r="E250"/>
      <c r="F250"/>
      <c r="G250"/>
      <c r="H250"/>
      <c r="I250"/>
      <c r="J250"/>
      <c r="K250"/>
      <c r="L250"/>
      <c r="M250"/>
    </row>
    <row r="251" spans="2:13">
      <c r="B251"/>
      <c r="C251"/>
      <c r="D251"/>
      <c r="E251"/>
      <c r="F251"/>
      <c r="G251"/>
      <c r="H251"/>
      <c r="I251"/>
      <c r="J251"/>
      <c r="K251"/>
      <c r="L251"/>
      <c r="M251"/>
    </row>
    <row r="252" spans="2:13">
      <c r="B252"/>
      <c r="C252"/>
      <c r="D252"/>
      <c r="E252"/>
      <c r="F252"/>
      <c r="G252"/>
      <c r="H252"/>
      <c r="I252"/>
      <c r="J252"/>
      <c r="K252"/>
      <c r="L252"/>
      <c r="M252"/>
    </row>
    <row r="253" spans="2:13">
      <c r="B253"/>
      <c r="C253"/>
      <c r="D253"/>
      <c r="E253"/>
      <c r="F253"/>
      <c r="G253"/>
      <c r="H253"/>
      <c r="I253"/>
      <c r="J253"/>
      <c r="K253"/>
      <c r="L253"/>
      <c r="M253"/>
    </row>
    <row r="254" spans="2:13">
      <c r="B254"/>
      <c r="C254"/>
      <c r="D254"/>
      <c r="E254"/>
      <c r="F254"/>
      <c r="G254"/>
      <c r="H254"/>
      <c r="I254"/>
      <c r="J254"/>
      <c r="K254"/>
      <c r="L254"/>
      <c r="M254"/>
    </row>
    <row r="255" spans="2:13">
      <c r="B255"/>
      <c r="C255"/>
      <c r="D255"/>
      <c r="E255"/>
      <c r="F255"/>
      <c r="G255"/>
      <c r="H255"/>
      <c r="I255"/>
      <c r="J255"/>
      <c r="K255"/>
      <c r="L255"/>
      <c r="M255"/>
    </row>
    <row r="256" spans="2:13">
      <c r="B256"/>
      <c r="C256"/>
      <c r="D256"/>
      <c r="E256"/>
      <c r="F256"/>
      <c r="G256"/>
      <c r="H256"/>
      <c r="I256"/>
      <c r="J256"/>
      <c r="K256"/>
      <c r="L256"/>
      <c r="M256"/>
    </row>
    <row r="257" spans="2:13">
      <c r="B257"/>
      <c r="C257"/>
      <c r="D257"/>
      <c r="E257"/>
      <c r="F257"/>
      <c r="G257"/>
      <c r="H257"/>
      <c r="I257"/>
      <c r="J257"/>
      <c r="K257"/>
      <c r="L257"/>
      <c r="M257"/>
    </row>
    <row r="258" spans="2:13">
      <c r="B258"/>
      <c r="C258"/>
      <c r="D258"/>
      <c r="E258"/>
      <c r="F258"/>
      <c r="G258"/>
      <c r="H258"/>
      <c r="I258"/>
      <c r="J258"/>
      <c r="K258"/>
      <c r="L258"/>
      <c r="M258"/>
    </row>
    <row r="259" spans="2:13">
      <c r="B259"/>
      <c r="C259"/>
      <c r="D259"/>
      <c r="E259"/>
      <c r="F259"/>
      <c r="G259"/>
      <c r="H259"/>
      <c r="I259"/>
      <c r="J259"/>
      <c r="K259"/>
      <c r="L259"/>
      <c r="M259"/>
    </row>
    <row r="260" spans="2:13">
      <c r="B260"/>
      <c r="C260"/>
      <c r="D260"/>
      <c r="E260"/>
      <c r="F260"/>
      <c r="G260"/>
      <c r="H260"/>
      <c r="I260"/>
      <c r="J260"/>
      <c r="K260"/>
      <c r="L260"/>
      <c r="M260"/>
    </row>
    <row r="261" spans="2:13">
      <c r="B261"/>
      <c r="C261"/>
      <c r="D261"/>
      <c r="E261"/>
      <c r="F261"/>
      <c r="G261"/>
      <c r="H261"/>
      <c r="I261"/>
      <c r="J261"/>
      <c r="K261"/>
      <c r="L261"/>
      <c r="M261"/>
    </row>
    <row r="262" spans="2:13">
      <c r="B262"/>
      <c r="C262"/>
      <c r="D262"/>
      <c r="E262"/>
      <c r="F262"/>
      <c r="G262"/>
      <c r="H262"/>
      <c r="I262"/>
      <c r="J262"/>
      <c r="K262"/>
      <c r="L262"/>
      <c r="M262"/>
    </row>
    <row r="263" spans="2:13">
      <c r="B263"/>
      <c r="C263"/>
      <c r="D263"/>
      <c r="E263"/>
      <c r="F263"/>
      <c r="G263"/>
      <c r="H263"/>
      <c r="I263"/>
      <c r="J263"/>
      <c r="K263"/>
      <c r="L263"/>
      <c r="M263"/>
    </row>
    <row r="264" spans="2:13">
      <c r="B264"/>
      <c r="C264"/>
      <c r="D264"/>
      <c r="E264"/>
      <c r="F264"/>
      <c r="G264"/>
      <c r="H264"/>
      <c r="I264"/>
      <c r="J264"/>
      <c r="K264"/>
      <c r="L264"/>
      <c r="M264"/>
    </row>
    <row r="265" spans="2:13">
      <c r="B265"/>
      <c r="C265"/>
      <c r="D265"/>
      <c r="E265"/>
      <c r="F265"/>
      <c r="G265"/>
      <c r="H265"/>
      <c r="I265"/>
      <c r="J265"/>
      <c r="K265"/>
      <c r="L265"/>
      <c r="M265"/>
    </row>
    <row r="266" spans="2:13">
      <c r="B266"/>
      <c r="C266"/>
      <c r="D266"/>
      <c r="E266"/>
      <c r="F266"/>
      <c r="G266"/>
      <c r="H266"/>
      <c r="I266"/>
      <c r="J266"/>
      <c r="K266"/>
      <c r="L266"/>
      <c r="M266"/>
    </row>
    <row r="267" spans="2:13">
      <c r="B267"/>
      <c r="C267"/>
      <c r="D267"/>
      <c r="E267"/>
      <c r="F267"/>
      <c r="G267"/>
      <c r="H267"/>
      <c r="I267"/>
      <c r="J267"/>
      <c r="K267"/>
      <c r="L267"/>
      <c r="M267"/>
    </row>
    <row r="268" spans="2:13">
      <c r="B268"/>
      <c r="C268"/>
      <c r="D268"/>
      <c r="E268"/>
      <c r="F268"/>
      <c r="G268"/>
      <c r="H268"/>
      <c r="I268"/>
      <c r="J268"/>
      <c r="K268"/>
      <c r="L268"/>
      <c r="M268"/>
    </row>
    <row r="269" spans="2:13">
      <c r="B269"/>
      <c r="C269"/>
      <c r="D269"/>
      <c r="E269"/>
      <c r="F269"/>
      <c r="G269"/>
      <c r="H269"/>
      <c r="I269"/>
      <c r="J269"/>
      <c r="K269"/>
      <c r="L269"/>
      <c r="M269"/>
    </row>
    <row r="270" spans="2:13">
      <c r="B270"/>
      <c r="C270"/>
      <c r="D270"/>
      <c r="E270"/>
      <c r="F270"/>
      <c r="G270"/>
      <c r="H270"/>
      <c r="I270"/>
      <c r="J270"/>
      <c r="K270"/>
      <c r="L270"/>
      <c r="M270"/>
    </row>
    <row r="271" spans="2:13">
      <c r="B271"/>
      <c r="C271"/>
      <c r="D271"/>
      <c r="E271"/>
      <c r="F271"/>
      <c r="G271"/>
      <c r="H271"/>
      <c r="I271"/>
      <c r="J271"/>
      <c r="K271"/>
      <c r="L271"/>
      <c r="M271"/>
    </row>
    <row r="272" spans="2:13">
      <c r="B272"/>
      <c r="C272"/>
      <c r="D272"/>
      <c r="E272"/>
      <c r="F272"/>
      <c r="G272"/>
      <c r="H272"/>
      <c r="I272"/>
      <c r="J272"/>
      <c r="K272"/>
      <c r="L272"/>
      <c r="M272"/>
    </row>
    <row r="273" spans="2:13">
      <c r="B273"/>
      <c r="C273"/>
      <c r="D273"/>
      <c r="E273"/>
      <c r="F273"/>
      <c r="G273"/>
      <c r="H273"/>
      <c r="I273"/>
      <c r="J273"/>
      <c r="K273"/>
      <c r="L273"/>
      <c r="M273"/>
    </row>
    <row r="274" spans="2:13">
      <c r="B274"/>
      <c r="C274"/>
      <c r="D274"/>
      <c r="E274"/>
      <c r="F274"/>
      <c r="G274"/>
      <c r="H274"/>
      <c r="I274"/>
      <c r="J274"/>
      <c r="K274"/>
      <c r="L274"/>
      <c r="M274"/>
    </row>
    <row r="275" spans="2:13">
      <c r="B275"/>
      <c r="C275"/>
      <c r="D275"/>
      <c r="E275"/>
      <c r="F275"/>
      <c r="G275"/>
      <c r="H275"/>
      <c r="I275"/>
      <c r="J275"/>
      <c r="K275"/>
      <c r="L275"/>
      <c r="M275"/>
    </row>
    <row r="276" spans="2:13">
      <c r="B276"/>
      <c r="C276"/>
      <c r="D276"/>
      <c r="E276"/>
      <c r="F276"/>
      <c r="G276"/>
      <c r="H276"/>
      <c r="I276"/>
      <c r="J276"/>
      <c r="K276"/>
      <c r="L276"/>
      <c r="M276"/>
    </row>
    <row r="277" spans="2:13">
      <c r="B277"/>
      <c r="C277"/>
      <c r="D277"/>
      <c r="E277"/>
      <c r="F277"/>
      <c r="G277"/>
      <c r="H277"/>
      <c r="I277"/>
      <c r="J277"/>
      <c r="K277"/>
      <c r="L277"/>
      <c r="M277"/>
    </row>
    <row r="278" spans="2:13">
      <c r="B278"/>
      <c r="C278"/>
      <c r="D278"/>
      <c r="E278"/>
      <c r="F278"/>
      <c r="G278"/>
      <c r="H278"/>
      <c r="I278"/>
      <c r="J278"/>
      <c r="K278"/>
      <c r="L278"/>
      <c r="M278"/>
    </row>
    <row r="279" spans="2:13">
      <c r="B279"/>
      <c r="C279"/>
      <c r="D279"/>
      <c r="E279"/>
      <c r="F279"/>
      <c r="G279"/>
      <c r="H279"/>
      <c r="I279"/>
      <c r="J279"/>
      <c r="K279"/>
      <c r="L279"/>
      <c r="M279"/>
    </row>
    <row r="280" spans="2:13">
      <c r="B280"/>
      <c r="C280"/>
      <c r="D280"/>
      <c r="E280"/>
      <c r="F280"/>
      <c r="G280"/>
      <c r="H280"/>
      <c r="I280"/>
      <c r="J280"/>
      <c r="K280"/>
      <c r="L280"/>
      <c r="M280"/>
    </row>
    <row r="281" spans="2:13">
      <c r="B281"/>
      <c r="C281"/>
      <c r="D281"/>
      <c r="E281"/>
      <c r="F281"/>
      <c r="G281"/>
      <c r="H281"/>
      <c r="I281"/>
      <c r="J281"/>
      <c r="K281"/>
      <c r="L281"/>
      <c r="M281"/>
    </row>
    <row r="282" spans="2:13">
      <c r="B282"/>
      <c r="C282"/>
      <c r="D282"/>
      <c r="E282"/>
      <c r="F282"/>
      <c r="G282"/>
      <c r="H282"/>
      <c r="I282"/>
      <c r="J282"/>
      <c r="K282"/>
      <c r="L282"/>
      <c r="M282"/>
    </row>
    <row r="283" spans="2:13">
      <c r="B283"/>
      <c r="C283"/>
      <c r="D283"/>
      <c r="E283"/>
      <c r="F283"/>
      <c r="G283"/>
      <c r="H283"/>
      <c r="I283"/>
      <c r="J283"/>
      <c r="K283"/>
      <c r="L283"/>
      <c r="M283"/>
    </row>
    <row r="284" spans="2:13">
      <c r="B284"/>
      <c r="C284"/>
      <c r="D284"/>
      <c r="E284"/>
      <c r="F284"/>
      <c r="G284"/>
      <c r="H284"/>
      <c r="I284"/>
      <c r="J284"/>
      <c r="K284"/>
      <c r="L284"/>
      <c r="M284"/>
    </row>
    <row r="285" spans="2:13">
      <c r="B285"/>
      <c r="C285"/>
      <c r="D285"/>
      <c r="E285"/>
      <c r="F285"/>
      <c r="G285"/>
      <c r="H285"/>
      <c r="I285"/>
      <c r="J285"/>
      <c r="K285"/>
      <c r="L285"/>
      <c r="M285"/>
    </row>
    <row r="286" spans="2:13">
      <c r="B286"/>
      <c r="C286"/>
      <c r="D286"/>
      <c r="E286"/>
      <c r="F286"/>
      <c r="G286"/>
      <c r="H286"/>
      <c r="I286"/>
      <c r="J286"/>
      <c r="K286"/>
      <c r="L286"/>
      <c r="M286"/>
    </row>
    <row r="287" spans="2:13">
      <c r="B287"/>
      <c r="C287"/>
      <c r="D287"/>
      <c r="E287"/>
      <c r="F287"/>
      <c r="G287"/>
      <c r="H287"/>
      <c r="I287"/>
      <c r="J287"/>
      <c r="K287"/>
      <c r="L287"/>
      <c r="M287"/>
    </row>
    <row r="288" spans="2:13">
      <c r="B288"/>
      <c r="C288"/>
      <c r="D288"/>
      <c r="E288"/>
      <c r="F288"/>
      <c r="G288"/>
      <c r="H288"/>
      <c r="I288"/>
      <c r="J288"/>
      <c r="K288"/>
      <c r="L288"/>
      <c r="M288"/>
    </row>
    <row r="289" spans="2:13">
      <c r="B289"/>
      <c r="C289"/>
      <c r="D289"/>
      <c r="E289"/>
      <c r="F289"/>
      <c r="G289"/>
      <c r="H289"/>
      <c r="I289"/>
      <c r="J289"/>
      <c r="K289"/>
      <c r="L289"/>
      <c r="M289"/>
    </row>
    <row r="290" spans="2:13">
      <c r="B290"/>
      <c r="C290"/>
      <c r="D290"/>
      <c r="E290"/>
      <c r="F290"/>
      <c r="G290"/>
      <c r="H290"/>
      <c r="I290"/>
      <c r="J290"/>
      <c r="K290"/>
      <c r="L290"/>
      <c r="M290"/>
    </row>
    <row r="291" spans="2:13">
      <c r="B291"/>
      <c r="C291"/>
      <c r="D291"/>
      <c r="E291"/>
      <c r="F291"/>
      <c r="G291"/>
      <c r="H291"/>
      <c r="I291"/>
      <c r="J291"/>
      <c r="K291"/>
      <c r="L291"/>
      <c r="M291"/>
    </row>
    <row r="292" spans="2:13">
      <c r="B292"/>
      <c r="C292"/>
      <c r="D292"/>
      <c r="E292"/>
      <c r="F292"/>
      <c r="G292"/>
      <c r="H292"/>
      <c r="I292"/>
      <c r="J292"/>
      <c r="K292"/>
      <c r="L292"/>
      <c r="M292"/>
    </row>
    <row r="293" spans="2:13">
      <c r="B293"/>
      <c r="C293"/>
      <c r="D293"/>
      <c r="E293"/>
      <c r="F293"/>
      <c r="G293"/>
      <c r="H293"/>
      <c r="I293"/>
      <c r="J293"/>
      <c r="K293"/>
      <c r="L293"/>
      <c r="M293"/>
    </row>
    <row r="294" spans="2:13">
      <c r="B294"/>
      <c r="C294"/>
      <c r="D294"/>
      <c r="E294"/>
      <c r="F294"/>
      <c r="G294"/>
      <c r="H294"/>
      <c r="I294"/>
      <c r="J294"/>
      <c r="K294"/>
      <c r="L294"/>
      <c r="M294"/>
    </row>
    <row r="295" spans="2:13">
      <c r="B295"/>
      <c r="C295"/>
      <c r="D295"/>
      <c r="E295"/>
      <c r="F295"/>
      <c r="G295"/>
      <c r="H295"/>
      <c r="I295"/>
      <c r="J295"/>
      <c r="K295"/>
      <c r="L295"/>
      <c r="M295"/>
    </row>
    <row r="296" spans="2:13">
      <c r="B296"/>
      <c r="C296"/>
      <c r="D296"/>
      <c r="E296"/>
      <c r="F296"/>
      <c r="G296"/>
      <c r="H296"/>
      <c r="I296"/>
      <c r="J296"/>
      <c r="K296"/>
      <c r="L296"/>
      <c r="M296"/>
    </row>
    <row r="297" spans="2:13">
      <c r="B297"/>
      <c r="C297"/>
      <c r="D297"/>
      <c r="E297"/>
      <c r="F297"/>
      <c r="G297"/>
      <c r="H297"/>
      <c r="I297"/>
      <c r="J297"/>
      <c r="K297"/>
      <c r="L297"/>
      <c r="M297"/>
    </row>
    <row r="298" spans="2:13">
      <c r="B298"/>
      <c r="C298"/>
      <c r="D298"/>
      <c r="E298"/>
      <c r="F298"/>
      <c r="G298"/>
      <c r="H298"/>
      <c r="I298"/>
      <c r="J298"/>
      <c r="K298"/>
      <c r="L298"/>
      <c r="M298"/>
    </row>
    <row r="299" spans="2:13">
      <c r="B299"/>
      <c r="C299"/>
      <c r="D299"/>
      <c r="E299"/>
      <c r="F299"/>
      <c r="G299"/>
      <c r="H299"/>
      <c r="I299"/>
      <c r="J299"/>
      <c r="K299"/>
      <c r="L299"/>
      <c r="M299"/>
    </row>
    <row r="300" spans="2:13">
      <c r="B300"/>
      <c r="C300"/>
      <c r="D300"/>
      <c r="E300"/>
      <c r="F300"/>
      <c r="G300"/>
      <c r="H300"/>
      <c r="I300"/>
      <c r="J300"/>
      <c r="K300"/>
      <c r="L300"/>
      <c r="M300"/>
    </row>
    <row r="301" spans="2:13">
      <c r="B301"/>
      <c r="C301"/>
      <c r="D301"/>
      <c r="E301"/>
      <c r="F301"/>
      <c r="G301"/>
      <c r="H301"/>
      <c r="I301"/>
      <c r="J301"/>
      <c r="K301"/>
      <c r="L301"/>
      <c r="M301"/>
    </row>
    <row r="302" spans="2:13">
      <c r="B302"/>
      <c r="C302"/>
      <c r="D302"/>
      <c r="E302"/>
      <c r="F302"/>
      <c r="G302"/>
      <c r="H302"/>
      <c r="I302"/>
      <c r="J302"/>
      <c r="K302"/>
      <c r="L302"/>
      <c r="M302"/>
    </row>
    <row r="303" spans="2:13">
      <c r="B303"/>
      <c r="C303"/>
      <c r="D303"/>
      <c r="E303"/>
      <c r="F303"/>
      <c r="G303"/>
      <c r="H303"/>
      <c r="I303"/>
      <c r="J303"/>
      <c r="K303"/>
      <c r="L303"/>
      <c r="M303"/>
    </row>
    <row r="304" spans="2:13">
      <c r="B304"/>
      <c r="C304"/>
      <c r="D304"/>
      <c r="E304"/>
      <c r="F304"/>
      <c r="G304"/>
      <c r="H304"/>
      <c r="I304"/>
      <c r="J304"/>
      <c r="K304"/>
      <c r="L304"/>
      <c r="M304"/>
    </row>
    <row r="305" spans="2:13">
      <c r="B305"/>
      <c r="C305"/>
      <c r="D305"/>
      <c r="E305"/>
      <c r="F305"/>
      <c r="G305"/>
      <c r="H305"/>
      <c r="I305"/>
      <c r="J305"/>
      <c r="K305"/>
      <c r="L305"/>
      <c r="M305"/>
    </row>
    <row r="306" spans="2:13">
      <c r="B306"/>
      <c r="C306"/>
      <c r="D306"/>
      <c r="E306"/>
      <c r="F306"/>
      <c r="G306"/>
      <c r="H306"/>
      <c r="I306"/>
      <c r="J306"/>
      <c r="K306"/>
      <c r="L306"/>
      <c r="M306"/>
    </row>
    <row r="307" spans="2:13">
      <c r="B307"/>
      <c r="C307"/>
      <c r="D307"/>
      <c r="E307"/>
      <c r="F307"/>
      <c r="G307"/>
      <c r="H307"/>
      <c r="I307"/>
      <c r="J307"/>
      <c r="K307"/>
      <c r="L307"/>
      <c r="M307"/>
    </row>
    <row r="308" spans="2:13">
      <c r="B308"/>
      <c r="C308"/>
      <c r="D308"/>
      <c r="E308"/>
      <c r="F308"/>
      <c r="G308"/>
      <c r="H308"/>
      <c r="I308"/>
      <c r="J308"/>
      <c r="K308"/>
      <c r="L308"/>
      <c r="M308"/>
    </row>
    <row r="309" spans="2:13">
      <c r="B309"/>
      <c r="C309"/>
      <c r="D309"/>
      <c r="E309"/>
      <c r="F309"/>
      <c r="G309"/>
      <c r="H309"/>
      <c r="I309"/>
      <c r="J309"/>
      <c r="K309"/>
      <c r="L309"/>
      <c r="M309"/>
    </row>
    <row r="310" spans="2:13">
      <c r="B310"/>
      <c r="C310"/>
      <c r="D310"/>
      <c r="E310"/>
      <c r="F310"/>
      <c r="G310"/>
      <c r="H310"/>
      <c r="I310"/>
      <c r="J310"/>
      <c r="K310"/>
      <c r="L310"/>
      <c r="M310"/>
    </row>
    <row r="311" spans="2:13">
      <c r="B311"/>
      <c r="C311"/>
      <c r="D311"/>
      <c r="E311"/>
      <c r="F311"/>
      <c r="G311"/>
      <c r="H311"/>
      <c r="I311"/>
      <c r="J311"/>
      <c r="K311"/>
      <c r="L311"/>
      <c r="M311"/>
    </row>
    <row r="312" spans="2:13">
      <c r="B312"/>
      <c r="C312"/>
      <c r="D312"/>
      <c r="E312"/>
      <c r="F312"/>
      <c r="G312"/>
      <c r="H312"/>
      <c r="I312"/>
      <c r="J312"/>
      <c r="K312"/>
      <c r="L312"/>
      <c r="M312"/>
    </row>
    <row r="313" spans="2:13">
      <c r="B313"/>
      <c r="C313"/>
      <c r="D313"/>
      <c r="E313"/>
      <c r="F313"/>
      <c r="G313"/>
      <c r="H313"/>
      <c r="I313"/>
      <c r="J313"/>
      <c r="K313"/>
      <c r="L313"/>
      <c r="M313"/>
    </row>
    <row r="314" spans="2:13">
      <c r="B314"/>
      <c r="C314"/>
      <c r="D314"/>
      <c r="E314"/>
      <c r="F314"/>
      <c r="G314"/>
      <c r="H314"/>
      <c r="I314"/>
      <c r="J314"/>
      <c r="K314"/>
      <c r="L314"/>
      <c r="M314"/>
    </row>
    <row r="315" spans="2:13">
      <c r="B315"/>
      <c r="C315"/>
      <c r="D315"/>
      <c r="E315"/>
      <c r="F315"/>
      <c r="G315"/>
      <c r="H315"/>
      <c r="I315"/>
      <c r="J315"/>
      <c r="K315"/>
      <c r="L315"/>
      <c r="M315"/>
    </row>
    <row r="316" spans="2:13">
      <c r="B316"/>
      <c r="C316"/>
      <c r="D316"/>
      <c r="E316"/>
      <c r="F316"/>
      <c r="G316"/>
      <c r="H316"/>
      <c r="I316"/>
      <c r="J316"/>
      <c r="K316"/>
      <c r="L316"/>
      <c r="M316"/>
    </row>
    <row r="317" spans="2:13">
      <c r="B317"/>
      <c r="C317"/>
      <c r="D317"/>
      <c r="E317"/>
      <c r="F317"/>
      <c r="G317"/>
      <c r="H317"/>
      <c r="I317"/>
      <c r="J317"/>
      <c r="K317"/>
      <c r="L317"/>
      <c r="M317"/>
    </row>
    <row r="318" spans="2:13">
      <c r="B318"/>
      <c r="C318"/>
      <c r="D318"/>
      <c r="E318"/>
      <c r="F318"/>
      <c r="G318"/>
      <c r="H318"/>
      <c r="I318"/>
      <c r="J318"/>
      <c r="K318"/>
      <c r="L318"/>
      <c r="M318"/>
    </row>
    <row r="319" spans="2:13">
      <c r="B319"/>
      <c r="C319"/>
      <c r="D319"/>
      <c r="E319"/>
      <c r="F319"/>
      <c r="G319"/>
      <c r="H319"/>
      <c r="I319"/>
      <c r="J319"/>
      <c r="K319"/>
      <c r="L319"/>
      <c r="M319"/>
    </row>
    <row r="320" spans="2:13">
      <c r="B320"/>
      <c r="C320"/>
      <c r="D320"/>
      <c r="E320"/>
      <c r="F320"/>
      <c r="G320"/>
      <c r="H320"/>
      <c r="I320"/>
      <c r="J320"/>
      <c r="K320"/>
      <c r="L320"/>
      <c r="M320"/>
    </row>
    <row r="321" spans="2:13">
      <c r="B321"/>
      <c r="C321"/>
      <c r="D321"/>
      <c r="E321"/>
      <c r="F321"/>
      <c r="G321"/>
      <c r="H321"/>
      <c r="I321"/>
      <c r="J321"/>
      <c r="K321"/>
      <c r="L321"/>
      <c r="M321"/>
    </row>
    <row r="322" spans="2:13">
      <c r="B322"/>
      <c r="C322"/>
      <c r="D322"/>
      <c r="E322"/>
      <c r="F322"/>
      <c r="G322"/>
      <c r="H322"/>
      <c r="I322"/>
      <c r="J322"/>
      <c r="K322"/>
      <c r="L322"/>
      <c r="M322"/>
    </row>
    <row r="323" spans="2:13">
      <c r="B323"/>
      <c r="C323"/>
      <c r="D323"/>
      <c r="E323"/>
      <c r="F323"/>
      <c r="G323"/>
      <c r="H323"/>
      <c r="I323"/>
      <c r="J323"/>
      <c r="K323"/>
      <c r="L323"/>
      <c r="M323"/>
    </row>
    <row r="324" spans="2:13">
      <c r="B324"/>
      <c r="C324"/>
      <c r="D324"/>
      <c r="E324"/>
      <c r="F324"/>
      <c r="G324"/>
      <c r="H324"/>
      <c r="I324"/>
      <c r="J324"/>
      <c r="K324"/>
      <c r="L324"/>
      <c r="M324"/>
    </row>
    <row r="325" spans="2:13">
      <c r="B325"/>
      <c r="C325"/>
      <c r="D325"/>
      <c r="E325"/>
      <c r="F325"/>
      <c r="G325"/>
      <c r="H325"/>
      <c r="I325"/>
      <c r="J325"/>
      <c r="K325"/>
      <c r="L325"/>
      <c r="M325"/>
    </row>
    <row r="326" spans="2:13">
      <c r="B326"/>
      <c r="C326"/>
      <c r="D326"/>
      <c r="E326"/>
      <c r="F326"/>
      <c r="G326"/>
      <c r="H326"/>
      <c r="I326"/>
      <c r="J326"/>
      <c r="K326"/>
      <c r="L326"/>
      <c r="M326"/>
    </row>
    <row r="327" spans="2:13">
      <c r="B327"/>
      <c r="C327"/>
      <c r="D327"/>
      <c r="E327"/>
      <c r="F327"/>
      <c r="G327"/>
      <c r="H327"/>
      <c r="I327"/>
      <c r="J327"/>
      <c r="K327"/>
      <c r="L327"/>
      <c r="M327"/>
    </row>
    <row r="328" spans="2:13">
      <c r="B328"/>
      <c r="C328"/>
      <c r="D328"/>
      <c r="E328"/>
      <c r="F328"/>
      <c r="G328"/>
      <c r="H328"/>
      <c r="I328"/>
      <c r="J328"/>
      <c r="K328"/>
      <c r="L328"/>
      <c r="M328"/>
    </row>
    <row r="329" spans="2:13">
      <c r="B329"/>
      <c r="C329"/>
      <c r="D329"/>
      <c r="E329"/>
      <c r="F329"/>
      <c r="G329"/>
      <c r="H329"/>
      <c r="I329"/>
      <c r="J329"/>
      <c r="K329"/>
      <c r="L329"/>
      <c r="M329"/>
    </row>
    <row r="330" spans="2:13">
      <c r="B330"/>
      <c r="C330"/>
      <c r="D330"/>
      <c r="E330"/>
      <c r="F330"/>
      <c r="G330"/>
      <c r="H330"/>
      <c r="I330"/>
      <c r="J330"/>
      <c r="K330"/>
      <c r="L330"/>
      <c r="M330"/>
    </row>
    <row r="331" spans="2:13">
      <c r="B331"/>
      <c r="C331"/>
      <c r="D331"/>
      <c r="E331"/>
      <c r="F331"/>
      <c r="G331"/>
      <c r="H331"/>
      <c r="I331"/>
      <c r="J331"/>
      <c r="K331"/>
      <c r="L331"/>
      <c r="M331"/>
    </row>
    <row r="332" spans="2:13">
      <c r="B332"/>
      <c r="C332"/>
      <c r="D332"/>
      <c r="E332"/>
      <c r="F332"/>
      <c r="G332"/>
      <c r="H332"/>
      <c r="I332"/>
      <c r="J332"/>
      <c r="K332"/>
      <c r="L332"/>
      <c r="M332"/>
    </row>
    <row r="333" spans="2:13">
      <c r="B333"/>
      <c r="C333"/>
      <c r="D333"/>
      <c r="E333"/>
      <c r="F333"/>
      <c r="G333"/>
      <c r="H333"/>
      <c r="I333"/>
      <c r="J333"/>
      <c r="K333"/>
      <c r="L333"/>
      <c r="M333"/>
    </row>
    <row r="334" spans="2:13">
      <c r="B334"/>
      <c r="C334"/>
      <c r="D334"/>
      <c r="E334"/>
      <c r="F334"/>
      <c r="G334"/>
      <c r="H334"/>
      <c r="I334"/>
      <c r="J334"/>
      <c r="K334"/>
      <c r="L334"/>
      <c r="M334"/>
    </row>
    <row r="335" spans="2:13">
      <c r="B335"/>
      <c r="C335"/>
      <c r="D335"/>
      <c r="E335"/>
      <c r="F335"/>
      <c r="G335"/>
      <c r="H335"/>
      <c r="I335"/>
      <c r="J335"/>
      <c r="K335"/>
      <c r="L335"/>
      <c r="M335"/>
    </row>
    <row r="336" spans="2:13">
      <c r="B336"/>
      <c r="C336"/>
      <c r="D336"/>
      <c r="E336"/>
      <c r="F336"/>
      <c r="G336"/>
      <c r="H336"/>
      <c r="I336"/>
      <c r="J336"/>
      <c r="K336"/>
      <c r="L336"/>
      <c r="M336"/>
    </row>
    <row r="337" spans="2:13">
      <c r="B337"/>
      <c r="C337"/>
      <c r="D337"/>
      <c r="E337"/>
      <c r="F337"/>
      <c r="G337"/>
      <c r="H337"/>
      <c r="I337"/>
      <c r="J337"/>
      <c r="K337"/>
      <c r="L337"/>
      <c r="M337"/>
    </row>
    <row r="338" spans="2:13">
      <c r="B338"/>
      <c r="C338"/>
      <c r="D338"/>
      <c r="E338"/>
      <c r="F338"/>
      <c r="G338"/>
      <c r="H338"/>
      <c r="I338"/>
      <c r="J338"/>
      <c r="K338"/>
      <c r="L338"/>
      <c r="M338"/>
    </row>
    <row r="339" spans="2:13">
      <c r="B339"/>
      <c r="C339"/>
      <c r="D339"/>
      <c r="E339"/>
      <c r="F339"/>
      <c r="G339"/>
      <c r="H339"/>
      <c r="I339"/>
      <c r="J339"/>
      <c r="K339"/>
      <c r="L339"/>
      <c r="M339"/>
    </row>
    <row r="340" spans="2:13">
      <c r="B340"/>
      <c r="C340"/>
      <c r="D340"/>
      <c r="E340"/>
      <c r="F340"/>
      <c r="G340"/>
      <c r="H340"/>
      <c r="I340"/>
      <c r="J340"/>
      <c r="K340"/>
      <c r="L340"/>
      <c r="M340"/>
    </row>
    <row r="341" spans="2:13">
      <c r="B341"/>
      <c r="C341"/>
      <c r="D341"/>
      <c r="E341"/>
      <c r="F341"/>
      <c r="G341"/>
      <c r="H341"/>
      <c r="I341"/>
      <c r="J341"/>
      <c r="K341"/>
      <c r="L341"/>
      <c r="M341"/>
    </row>
    <row r="342" spans="2:13">
      <c r="B342"/>
      <c r="C342"/>
      <c r="D342"/>
      <c r="E342"/>
      <c r="F342"/>
      <c r="G342"/>
      <c r="H342"/>
      <c r="I342"/>
      <c r="J342"/>
      <c r="K342"/>
      <c r="L342"/>
      <c r="M342"/>
    </row>
    <row r="343" spans="2:13">
      <c r="B343"/>
      <c r="C343"/>
      <c r="D343"/>
      <c r="E343"/>
      <c r="F343"/>
      <c r="G343"/>
      <c r="H343"/>
      <c r="I343"/>
      <c r="J343"/>
      <c r="K343"/>
      <c r="L343"/>
      <c r="M343"/>
    </row>
    <row r="344" spans="2:13">
      <c r="B344"/>
      <c r="C344"/>
      <c r="D344"/>
      <c r="E344"/>
      <c r="F344"/>
      <c r="G344"/>
      <c r="H344"/>
      <c r="I344"/>
      <c r="J344"/>
      <c r="K344"/>
      <c r="L344"/>
      <c r="M344"/>
    </row>
    <row r="345" spans="2:13">
      <c r="B345"/>
      <c r="C345"/>
      <c r="D345"/>
      <c r="E345"/>
      <c r="F345"/>
      <c r="G345"/>
      <c r="H345"/>
      <c r="I345"/>
      <c r="J345"/>
      <c r="K345"/>
      <c r="L345"/>
      <c r="M345"/>
    </row>
    <row r="346" spans="2:13">
      <c r="B346"/>
      <c r="C346"/>
      <c r="D346"/>
      <c r="E346"/>
      <c r="F346"/>
      <c r="G346"/>
      <c r="H346"/>
      <c r="I346"/>
      <c r="J346"/>
      <c r="K346"/>
      <c r="L346"/>
      <c r="M346"/>
    </row>
    <row r="347" spans="2:13">
      <c r="B347"/>
      <c r="C347"/>
      <c r="D347"/>
      <c r="E347"/>
      <c r="F347"/>
      <c r="G347"/>
      <c r="H347"/>
      <c r="I347"/>
      <c r="J347"/>
      <c r="K347"/>
      <c r="L347"/>
      <c r="M347"/>
    </row>
    <row r="348" spans="2:13">
      <c r="B348"/>
      <c r="C348"/>
      <c r="D348"/>
      <c r="E348"/>
      <c r="F348"/>
      <c r="G348"/>
      <c r="H348"/>
      <c r="I348"/>
      <c r="J348"/>
      <c r="K348"/>
      <c r="L348"/>
      <c r="M348"/>
    </row>
    <row r="349" spans="2:13">
      <c r="B349"/>
      <c r="C349"/>
      <c r="D349"/>
      <c r="E349"/>
      <c r="F349"/>
      <c r="G349"/>
      <c r="H349"/>
      <c r="I349"/>
      <c r="J349"/>
      <c r="K349"/>
      <c r="L349"/>
      <c r="M349"/>
    </row>
    <row r="350" spans="2:13">
      <c r="B350"/>
      <c r="C350"/>
      <c r="D350"/>
      <c r="E350"/>
      <c r="F350"/>
      <c r="G350"/>
      <c r="H350"/>
      <c r="I350"/>
      <c r="J350"/>
      <c r="K350"/>
      <c r="L350"/>
      <c r="M350"/>
    </row>
    <row r="351" spans="2:13">
      <c r="B351"/>
      <c r="C351"/>
      <c r="D351"/>
      <c r="E351"/>
      <c r="F351"/>
      <c r="G351"/>
      <c r="H351"/>
      <c r="I351"/>
      <c r="J351"/>
      <c r="K351"/>
      <c r="L351"/>
      <c r="M351"/>
    </row>
    <row r="352" spans="2:13">
      <c r="B352"/>
      <c r="C352"/>
      <c r="D352"/>
      <c r="E352"/>
      <c r="F352"/>
      <c r="G352"/>
      <c r="H352"/>
      <c r="I352"/>
      <c r="J352"/>
      <c r="K352"/>
      <c r="L352"/>
      <c r="M352"/>
    </row>
    <row r="353" spans="2:13" ht="15.75" thickBot="1">
      <c r="B353"/>
      <c r="C353"/>
      <c r="D353"/>
      <c r="E353"/>
      <c r="F353"/>
      <c r="G353"/>
      <c r="H353"/>
      <c r="I353"/>
      <c r="J353"/>
      <c r="K353"/>
      <c r="L353"/>
      <c r="M353"/>
    </row>
    <row r="354" spans="2:13" ht="15.75" thickBot="1">
      <c r="B354"/>
      <c r="C354"/>
      <c r="D354"/>
      <c r="E354"/>
      <c r="F354"/>
      <c r="G354"/>
      <c r="H354"/>
      <c r="I354"/>
      <c r="J354"/>
      <c r="K354"/>
      <c r="L354"/>
      <c r="M354"/>
    </row>
    <row r="355" spans="2:13">
      <c r="B355"/>
      <c r="C355"/>
      <c r="D355"/>
      <c r="E355"/>
      <c r="F355"/>
      <c r="G355"/>
      <c r="H355"/>
      <c r="I355"/>
      <c r="J355"/>
      <c r="K355"/>
      <c r="L355"/>
      <c r="M355"/>
    </row>
    <row r="356" spans="2:13">
      <c r="B356"/>
      <c r="C356"/>
      <c r="D356"/>
      <c r="E356"/>
      <c r="F356"/>
      <c r="G356"/>
      <c r="H356"/>
      <c r="I356"/>
      <c r="J356"/>
      <c r="K356"/>
      <c r="L356"/>
      <c r="M356"/>
    </row>
    <row r="357" spans="2:13">
      <c r="B357"/>
      <c r="C357"/>
      <c r="D357"/>
      <c r="E357"/>
      <c r="F357"/>
      <c r="G357"/>
      <c r="H357"/>
      <c r="I357"/>
      <c r="J357"/>
      <c r="K357"/>
      <c r="L357"/>
      <c r="M357"/>
    </row>
    <row r="358" spans="2:13">
      <c r="B358"/>
      <c r="C358"/>
      <c r="D358"/>
      <c r="E358"/>
      <c r="F358"/>
      <c r="G358"/>
      <c r="H358"/>
      <c r="I358"/>
      <c r="J358"/>
      <c r="K358"/>
      <c r="L358"/>
      <c r="M358"/>
    </row>
    <row r="359" spans="2:13">
      <c r="B359"/>
      <c r="C359"/>
      <c r="D359"/>
      <c r="E359"/>
      <c r="F359"/>
      <c r="G359"/>
      <c r="H359"/>
      <c r="I359"/>
      <c r="J359"/>
      <c r="K359"/>
      <c r="L359"/>
      <c r="M359"/>
    </row>
    <row r="360" spans="2:13">
      <c r="B360"/>
      <c r="C360"/>
      <c r="D360"/>
      <c r="E360"/>
      <c r="F360"/>
      <c r="G360"/>
      <c r="H360"/>
      <c r="I360"/>
      <c r="J360"/>
      <c r="K360"/>
      <c r="L360"/>
      <c r="M360"/>
    </row>
    <row r="361" spans="2:13">
      <c r="B361"/>
      <c r="C361"/>
      <c r="D361"/>
      <c r="E361"/>
      <c r="F361"/>
      <c r="G361"/>
      <c r="H361"/>
      <c r="I361"/>
      <c r="J361"/>
      <c r="K361"/>
      <c r="L361"/>
      <c r="M361"/>
    </row>
    <row r="362" spans="2:13">
      <c r="B362"/>
      <c r="C362"/>
      <c r="D362"/>
      <c r="E362"/>
      <c r="F362"/>
      <c r="G362"/>
      <c r="H362"/>
      <c r="I362"/>
      <c r="J362"/>
      <c r="K362"/>
      <c r="L362"/>
      <c r="M362"/>
    </row>
    <row r="363" spans="2:13">
      <c r="B363"/>
      <c r="C363"/>
      <c r="D363"/>
      <c r="E363"/>
      <c r="F363"/>
      <c r="G363"/>
      <c r="H363"/>
      <c r="I363"/>
      <c r="J363"/>
      <c r="K363"/>
      <c r="L363"/>
      <c r="M363"/>
    </row>
    <row r="364" spans="2:13">
      <c r="B364"/>
      <c r="C364"/>
      <c r="D364"/>
      <c r="E364"/>
      <c r="F364"/>
      <c r="G364"/>
      <c r="H364"/>
      <c r="I364"/>
      <c r="J364"/>
      <c r="K364"/>
      <c r="L364"/>
      <c r="M364"/>
    </row>
    <row r="365" spans="2:13">
      <c r="B365"/>
      <c r="C365"/>
      <c r="D365"/>
      <c r="E365"/>
      <c r="F365"/>
      <c r="G365"/>
      <c r="H365"/>
      <c r="I365"/>
      <c r="J365"/>
      <c r="K365"/>
      <c r="L365"/>
      <c r="M365"/>
    </row>
    <row r="366" spans="2:13">
      <c r="B366"/>
      <c r="C366"/>
      <c r="D366"/>
      <c r="E366"/>
      <c r="F366"/>
      <c r="G366"/>
      <c r="H366"/>
      <c r="I366"/>
      <c r="J366"/>
      <c r="K366"/>
      <c r="L366"/>
      <c r="M366"/>
    </row>
    <row r="367" spans="2:13">
      <c r="B367"/>
      <c r="C367"/>
      <c r="D367"/>
      <c r="E367"/>
      <c r="F367"/>
      <c r="G367"/>
      <c r="H367"/>
      <c r="I367"/>
      <c r="J367"/>
      <c r="K367"/>
      <c r="L367"/>
      <c r="M367"/>
    </row>
    <row r="368" spans="2:13">
      <c r="B368"/>
      <c r="C368"/>
      <c r="D368"/>
      <c r="E368"/>
      <c r="F368"/>
      <c r="G368"/>
      <c r="H368"/>
      <c r="I368"/>
      <c r="J368"/>
      <c r="K368"/>
      <c r="L368"/>
      <c r="M368"/>
    </row>
    <row r="369" spans="2:13">
      <c r="B369"/>
      <c r="C369"/>
      <c r="D369"/>
      <c r="E369"/>
      <c r="F369"/>
      <c r="G369"/>
      <c r="H369"/>
      <c r="I369"/>
      <c r="J369"/>
      <c r="K369"/>
      <c r="L369"/>
      <c r="M369"/>
    </row>
    <row r="370" spans="2:13">
      <c r="B370"/>
      <c r="C370"/>
      <c r="D370"/>
      <c r="E370"/>
      <c r="F370"/>
      <c r="G370"/>
      <c r="H370"/>
      <c r="I370"/>
      <c r="J370"/>
      <c r="K370"/>
      <c r="L370"/>
      <c r="M370"/>
    </row>
    <row r="371" spans="2:13">
      <c r="B371"/>
      <c r="C371"/>
      <c r="D371"/>
      <c r="E371"/>
      <c r="F371"/>
      <c r="G371"/>
      <c r="H371"/>
      <c r="I371"/>
      <c r="J371"/>
      <c r="K371"/>
      <c r="L371"/>
      <c r="M371"/>
    </row>
    <row r="372" spans="2:13">
      <c r="B372"/>
      <c r="C372"/>
      <c r="D372"/>
      <c r="E372"/>
      <c r="F372"/>
      <c r="G372"/>
      <c r="H372"/>
      <c r="I372"/>
      <c r="J372"/>
      <c r="K372"/>
      <c r="L372"/>
      <c r="M372"/>
    </row>
    <row r="373" spans="2:13">
      <c r="B373"/>
      <c r="C373"/>
      <c r="D373"/>
      <c r="E373"/>
      <c r="F373"/>
      <c r="G373"/>
      <c r="H373"/>
      <c r="I373"/>
      <c r="J373"/>
      <c r="K373"/>
      <c r="L373"/>
      <c r="M373"/>
    </row>
    <row r="374" spans="2:13">
      <c r="B374"/>
      <c r="C374"/>
      <c r="D374"/>
      <c r="E374"/>
      <c r="F374"/>
      <c r="G374"/>
      <c r="H374"/>
      <c r="I374"/>
      <c r="J374"/>
      <c r="K374"/>
      <c r="L374"/>
      <c r="M374"/>
    </row>
    <row r="375" spans="2:13">
      <c r="B375"/>
      <c r="C375"/>
      <c r="D375"/>
      <c r="E375"/>
      <c r="F375"/>
      <c r="G375"/>
      <c r="H375"/>
      <c r="I375"/>
      <c r="J375"/>
      <c r="K375"/>
      <c r="L375"/>
      <c r="M375"/>
    </row>
    <row r="376" spans="2:13">
      <c r="B376"/>
      <c r="C376"/>
      <c r="D376"/>
      <c r="E376"/>
      <c r="F376"/>
      <c r="G376"/>
      <c r="H376"/>
      <c r="I376"/>
      <c r="J376"/>
      <c r="K376"/>
      <c r="L376"/>
      <c r="M376"/>
    </row>
    <row r="377" spans="2:13">
      <c r="B377"/>
      <c r="C377"/>
      <c r="D377"/>
      <c r="E377"/>
      <c r="F377"/>
      <c r="G377"/>
      <c r="H377"/>
      <c r="I377"/>
      <c r="J377"/>
      <c r="K377"/>
      <c r="L377"/>
      <c r="M377"/>
    </row>
    <row r="378" spans="2:13">
      <c r="B378"/>
      <c r="C378"/>
      <c r="D378"/>
      <c r="E378"/>
      <c r="F378"/>
      <c r="G378"/>
      <c r="H378"/>
      <c r="I378"/>
      <c r="J378"/>
      <c r="K378"/>
      <c r="L378"/>
      <c r="M378"/>
    </row>
    <row r="379" spans="2:13">
      <c r="B379"/>
      <c r="C379"/>
      <c r="D379"/>
      <c r="E379"/>
      <c r="F379"/>
      <c r="G379"/>
      <c r="H379"/>
      <c r="I379"/>
      <c r="J379"/>
      <c r="K379"/>
      <c r="L379"/>
      <c r="M379"/>
    </row>
    <row r="380" spans="2:13">
      <c r="B380"/>
      <c r="C380"/>
      <c r="D380"/>
      <c r="E380"/>
      <c r="F380"/>
      <c r="G380"/>
      <c r="H380"/>
      <c r="I380"/>
      <c r="J380"/>
      <c r="K380"/>
      <c r="L380"/>
      <c r="M380"/>
    </row>
    <row r="381" spans="2:13">
      <c r="B381"/>
      <c r="C381"/>
      <c r="D381"/>
      <c r="E381"/>
      <c r="F381"/>
      <c r="G381"/>
      <c r="H381"/>
      <c r="I381"/>
      <c r="J381"/>
      <c r="K381"/>
      <c r="L381"/>
      <c r="M381"/>
    </row>
    <row r="382" spans="2:13">
      <c r="B382"/>
      <c r="C382"/>
      <c r="D382"/>
      <c r="E382"/>
      <c r="F382"/>
      <c r="G382"/>
      <c r="H382"/>
      <c r="I382"/>
      <c r="J382"/>
      <c r="K382"/>
      <c r="L382"/>
      <c r="M382"/>
    </row>
    <row r="383" spans="2:13">
      <c r="B383"/>
      <c r="C383"/>
      <c r="D383"/>
      <c r="E383"/>
      <c r="F383"/>
      <c r="G383"/>
      <c r="H383"/>
      <c r="I383"/>
      <c r="J383"/>
      <c r="K383"/>
      <c r="L383"/>
      <c r="M383"/>
    </row>
    <row r="384" spans="2:13">
      <c r="B384"/>
      <c r="C384"/>
      <c r="D384"/>
      <c r="E384"/>
      <c r="F384"/>
      <c r="G384"/>
      <c r="H384"/>
      <c r="I384"/>
      <c r="J384"/>
      <c r="K384"/>
      <c r="L384"/>
      <c r="M384"/>
    </row>
    <row r="385" spans="2:13">
      <c r="B385"/>
      <c r="C385"/>
      <c r="D385"/>
      <c r="E385"/>
      <c r="F385"/>
      <c r="G385"/>
      <c r="H385"/>
      <c r="I385"/>
      <c r="J385"/>
      <c r="K385"/>
      <c r="L385"/>
      <c r="M385"/>
    </row>
    <row r="386" spans="2:13">
      <c r="B386"/>
      <c r="C386"/>
      <c r="D386"/>
      <c r="E386"/>
      <c r="F386"/>
      <c r="G386"/>
      <c r="H386"/>
      <c r="I386"/>
      <c r="J386"/>
      <c r="K386"/>
      <c r="L386"/>
      <c r="M386"/>
    </row>
    <row r="387" spans="2:13">
      <c r="B387"/>
      <c r="C387"/>
      <c r="D387"/>
      <c r="E387"/>
      <c r="F387"/>
      <c r="G387"/>
      <c r="H387"/>
      <c r="I387"/>
      <c r="J387"/>
      <c r="K387"/>
      <c r="L387"/>
      <c r="M387"/>
    </row>
    <row r="388" spans="2:13">
      <c r="B388"/>
      <c r="C388"/>
      <c r="D388"/>
      <c r="E388"/>
      <c r="F388"/>
      <c r="G388"/>
      <c r="H388"/>
      <c r="I388"/>
      <c r="J388"/>
      <c r="K388"/>
      <c r="L388"/>
      <c r="M388"/>
    </row>
    <row r="389" spans="2:13">
      <c r="B389"/>
      <c r="C389"/>
      <c r="D389"/>
      <c r="E389"/>
      <c r="F389"/>
      <c r="G389"/>
      <c r="H389"/>
      <c r="I389"/>
      <c r="J389"/>
      <c r="K389"/>
      <c r="L389"/>
      <c r="M389"/>
    </row>
    <row r="390" spans="2:13">
      <c r="B390"/>
      <c r="C390"/>
      <c r="D390"/>
      <c r="E390"/>
      <c r="F390"/>
      <c r="G390"/>
      <c r="H390"/>
      <c r="I390"/>
      <c r="J390"/>
      <c r="K390"/>
      <c r="L390"/>
      <c r="M390"/>
    </row>
    <row r="391" spans="2:13">
      <c r="B391"/>
      <c r="C391"/>
      <c r="D391"/>
      <c r="E391"/>
      <c r="F391"/>
      <c r="G391"/>
      <c r="H391"/>
      <c r="I391"/>
      <c r="J391"/>
      <c r="K391"/>
      <c r="L391"/>
      <c r="M391"/>
    </row>
    <row r="392" spans="2:13">
      <c r="B392"/>
      <c r="C392"/>
      <c r="D392"/>
      <c r="E392"/>
      <c r="F392"/>
      <c r="G392"/>
      <c r="H392"/>
      <c r="I392"/>
      <c r="J392"/>
      <c r="K392"/>
      <c r="L392"/>
      <c r="M392"/>
    </row>
    <row r="393" spans="2:13">
      <c r="B393"/>
      <c r="C393"/>
      <c r="D393"/>
      <c r="E393"/>
      <c r="F393"/>
      <c r="G393"/>
      <c r="H393"/>
      <c r="I393"/>
      <c r="J393"/>
      <c r="K393"/>
      <c r="L393"/>
      <c r="M393"/>
    </row>
    <row r="394" spans="2:13">
      <c r="B394"/>
      <c r="C394"/>
      <c r="D394"/>
      <c r="E394"/>
      <c r="F394"/>
      <c r="G394"/>
      <c r="H394"/>
      <c r="I394"/>
      <c r="J394"/>
      <c r="K394"/>
      <c r="L394"/>
      <c r="M394"/>
    </row>
    <row r="395" spans="2:13">
      <c r="B395"/>
      <c r="C395"/>
      <c r="D395"/>
      <c r="E395"/>
      <c r="F395"/>
      <c r="G395"/>
      <c r="H395"/>
      <c r="I395"/>
      <c r="J395"/>
      <c r="K395"/>
      <c r="L395"/>
      <c r="M395"/>
    </row>
    <row r="396" spans="2:13">
      <c r="B396"/>
      <c r="C396"/>
      <c r="D396"/>
      <c r="E396"/>
      <c r="F396"/>
      <c r="G396"/>
      <c r="H396"/>
      <c r="I396"/>
      <c r="J396"/>
      <c r="K396"/>
      <c r="L396"/>
      <c r="M396"/>
    </row>
    <row r="397" spans="2:13">
      <c r="B397"/>
      <c r="C397"/>
      <c r="D397"/>
      <c r="E397"/>
      <c r="F397"/>
      <c r="G397"/>
      <c r="H397"/>
      <c r="I397"/>
      <c r="J397"/>
      <c r="K397"/>
      <c r="L397"/>
      <c r="M397"/>
    </row>
    <row r="398" spans="2:13">
      <c r="B398"/>
      <c r="C398"/>
      <c r="D398"/>
      <c r="E398"/>
      <c r="F398"/>
      <c r="G398"/>
      <c r="H398"/>
      <c r="I398"/>
      <c r="J398"/>
      <c r="K398"/>
      <c r="L398"/>
      <c r="M398"/>
    </row>
    <row r="399" spans="2:13">
      <c r="B399"/>
      <c r="C399"/>
      <c r="D399"/>
      <c r="E399"/>
      <c r="F399"/>
      <c r="G399"/>
      <c r="H399"/>
      <c r="I399"/>
      <c r="J399"/>
      <c r="K399"/>
      <c r="L399"/>
      <c r="M399"/>
    </row>
    <row r="400" spans="2:13">
      <c r="B400"/>
      <c r="C400"/>
      <c r="D400"/>
      <c r="E400"/>
      <c r="F400"/>
      <c r="G400"/>
      <c r="H400"/>
      <c r="I400"/>
      <c r="J400"/>
      <c r="K400"/>
      <c r="L400"/>
      <c r="M400"/>
    </row>
    <row r="401" spans="2:13">
      <c r="B401"/>
      <c r="C401"/>
      <c r="D401"/>
      <c r="E401"/>
      <c r="F401"/>
      <c r="G401"/>
      <c r="H401"/>
      <c r="I401"/>
      <c r="J401"/>
      <c r="K401"/>
      <c r="L401"/>
      <c r="M401"/>
    </row>
    <row r="402" spans="2:13">
      <c r="B402"/>
      <c r="C402"/>
      <c r="D402"/>
      <c r="E402"/>
      <c r="F402"/>
      <c r="G402"/>
      <c r="H402"/>
      <c r="I402"/>
      <c r="J402"/>
      <c r="K402"/>
      <c r="L402"/>
      <c r="M402"/>
    </row>
    <row r="403" spans="2:13">
      <c r="B403"/>
      <c r="C403"/>
      <c r="D403"/>
      <c r="E403"/>
      <c r="F403"/>
      <c r="G403"/>
      <c r="H403"/>
      <c r="I403"/>
      <c r="J403"/>
      <c r="K403"/>
      <c r="L403"/>
      <c r="M403"/>
    </row>
    <row r="404" spans="2:13">
      <c r="B404"/>
      <c r="C404"/>
      <c r="D404"/>
      <c r="E404"/>
      <c r="F404"/>
      <c r="G404"/>
      <c r="H404"/>
      <c r="I404"/>
      <c r="J404"/>
      <c r="K404"/>
      <c r="L404"/>
      <c r="M404"/>
    </row>
    <row r="405" spans="2:13">
      <c r="B405"/>
      <c r="C405"/>
      <c r="D405"/>
      <c r="E405"/>
      <c r="F405"/>
      <c r="G405"/>
      <c r="H405"/>
      <c r="I405"/>
      <c r="J405"/>
      <c r="K405"/>
      <c r="L405"/>
      <c r="M405"/>
    </row>
    <row r="406" spans="2:13">
      <c r="B406"/>
      <c r="C406"/>
      <c r="D406"/>
      <c r="E406"/>
      <c r="F406"/>
      <c r="G406"/>
      <c r="H406"/>
      <c r="I406"/>
      <c r="J406"/>
      <c r="K406"/>
      <c r="L406"/>
      <c r="M406"/>
    </row>
    <row r="407" spans="2:13">
      <c r="B407"/>
      <c r="C407"/>
      <c r="D407"/>
      <c r="E407"/>
      <c r="F407"/>
      <c r="G407"/>
      <c r="H407"/>
      <c r="I407"/>
      <c r="J407"/>
      <c r="K407"/>
      <c r="L407"/>
      <c r="M407"/>
    </row>
    <row r="408" spans="2:13">
      <c r="B408"/>
      <c r="C408"/>
      <c r="D408"/>
      <c r="E408"/>
      <c r="F408"/>
      <c r="G408"/>
      <c r="H408"/>
      <c r="I408"/>
      <c r="J408"/>
      <c r="K408"/>
      <c r="L408"/>
      <c r="M408"/>
    </row>
    <row r="409" spans="2:13">
      <c r="B409"/>
      <c r="C409"/>
      <c r="D409"/>
      <c r="E409"/>
      <c r="F409"/>
      <c r="G409"/>
      <c r="H409"/>
      <c r="I409"/>
      <c r="J409"/>
      <c r="K409"/>
      <c r="L409"/>
      <c r="M409"/>
    </row>
    <row r="410" spans="2:13">
      <c r="B410"/>
      <c r="C410"/>
      <c r="D410"/>
      <c r="E410"/>
      <c r="F410"/>
      <c r="G410"/>
      <c r="H410"/>
      <c r="I410"/>
      <c r="J410"/>
      <c r="K410"/>
      <c r="L410"/>
      <c r="M410"/>
    </row>
    <row r="411" spans="2:13">
      <c r="B411"/>
      <c r="C411"/>
      <c r="D411"/>
      <c r="E411"/>
      <c r="F411"/>
      <c r="G411"/>
      <c r="H411"/>
      <c r="I411"/>
      <c r="J411"/>
      <c r="K411"/>
      <c r="L411"/>
      <c r="M411"/>
    </row>
    <row r="412" spans="2:13">
      <c r="B412"/>
      <c r="C412"/>
      <c r="D412"/>
      <c r="E412"/>
      <c r="F412"/>
      <c r="G412"/>
      <c r="H412"/>
      <c r="I412"/>
      <c r="J412"/>
      <c r="K412"/>
      <c r="L412"/>
      <c r="M412"/>
    </row>
    <row r="413" spans="2:13">
      <c r="B413"/>
      <c r="C413"/>
      <c r="D413"/>
      <c r="E413"/>
      <c r="F413"/>
      <c r="G413"/>
      <c r="H413"/>
      <c r="I413"/>
      <c r="J413"/>
      <c r="K413"/>
      <c r="L413"/>
      <c r="M413"/>
    </row>
    <row r="414" spans="2:13">
      <c r="B414"/>
      <c r="C414"/>
      <c r="D414"/>
      <c r="E414"/>
      <c r="F414"/>
      <c r="G414"/>
      <c r="H414"/>
      <c r="I414"/>
      <c r="J414"/>
      <c r="K414"/>
      <c r="L414"/>
      <c r="M414"/>
    </row>
    <row r="415" spans="2:13">
      <c r="B415"/>
      <c r="C415"/>
      <c r="D415"/>
      <c r="E415"/>
      <c r="F415"/>
      <c r="G415"/>
      <c r="H415"/>
      <c r="I415"/>
      <c r="J415"/>
      <c r="K415"/>
      <c r="L415"/>
      <c r="M415"/>
    </row>
    <row r="416" spans="2:13">
      <c r="B416"/>
      <c r="C416"/>
      <c r="D416"/>
      <c r="E416"/>
      <c r="F416"/>
      <c r="G416"/>
      <c r="H416"/>
      <c r="I416"/>
      <c r="J416"/>
      <c r="K416"/>
      <c r="L416"/>
      <c r="M416"/>
    </row>
    <row r="417" spans="2:13">
      <c r="B417"/>
      <c r="C417"/>
      <c r="D417"/>
      <c r="E417"/>
      <c r="F417"/>
      <c r="G417"/>
      <c r="H417"/>
      <c r="I417"/>
      <c r="J417"/>
      <c r="K417"/>
      <c r="L417"/>
      <c r="M417"/>
    </row>
    <row r="418" spans="2:13">
      <c r="B418"/>
      <c r="C418"/>
      <c r="D418"/>
      <c r="E418"/>
      <c r="F418"/>
      <c r="G418"/>
      <c r="H418"/>
      <c r="I418"/>
      <c r="J418"/>
      <c r="K418"/>
      <c r="L418"/>
      <c r="M418"/>
    </row>
    <row r="419" spans="2:13">
      <c r="B419"/>
      <c r="C419"/>
      <c r="D419"/>
      <c r="E419"/>
      <c r="F419"/>
      <c r="G419"/>
      <c r="H419"/>
      <c r="I419"/>
      <c r="J419"/>
      <c r="K419"/>
      <c r="L419"/>
      <c r="M419"/>
    </row>
    <row r="420" spans="2:13">
      <c r="B420"/>
      <c r="C420"/>
      <c r="D420"/>
      <c r="E420"/>
      <c r="F420"/>
      <c r="G420"/>
      <c r="H420"/>
      <c r="I420"/>
      <c r="J420"/>
      <c r="K420"/>
      <c r="L420"/>
      <c r="M420"/>
    </row>
    <row r="421" spans="2:13">
      <c r="B421"/>
      <c r="C421"/>
      <c r="D421"/>
      <c r="E421"/>
      <c r="F421"/>
      <c r="G421"/>
      <c r="H421"/>
      <c r="I421"/>
      <c r="J421"/>
      <c r="K421"/>
      <c r="L421"/>
      <c r="M421"/>
    </row>
    <row r="422" spans="2:13">
      <c r="B422"/>
      <c r="C422"/>
      <c r="D422"/>
      <c r="E422"/>
      <c r="F422"/>
      <c r="G422"/>
      <c r="H422"/>
      <c r="I422"/>
      <c r="J422"/>
      <c r="K422"/>
      <c r="L422"/>
      <c r="M422"/>
    </row>
    <row r="423" spans="2:13">
      <c r="B423"/>
      <c r="C423"/>
      <c r="D423"/>
      <c r="E423"/>
      <c r="F423"/>
      <c r="G423"/>
      <c r="H423"/>
      <c r="I423"/>
      <c r="J423"/>
      <c r="K423"/>
      <c r="L423"/>
      <c r="M423"/>
    </row>
    <row r="424" spans="2:13">
      <c r="B424"/>
      <c r="C424"/>
      <c r="D424"/>
      <c r="E424"/>
      <c r="F424"/>
      <c r="G424"/>
      <c r="H424"/>
      <c r="I424"/>
      <c r="J424"/>
      <c r="K424"/>
      <c r="L424"/>
      <c r="M424"/>
    </row>
    <row r="425" spans="2:13">
      <c r="B425"/>
      <c r="C425"/>
      <c r="D425"/>
      <c r="E425"/>
      <c r="F425"/>
      <c r="G425"/>
      <c r="H425"/>
      <c r="I425"/>
      <c r="J425"/>
      <c r="K425"/>
      <c r="L425"/>
      <c r="M425"/>
    </row>
    <row r="426" spans="2:13">
      <c r="B426"/>
      <c r="C426"/>
      <c r="D426"/>
      <c r="E426"/>
      <c r="F426"/>
      <c r="G426"/>
      <c r="H426"/>
      <c r="I426"/>
      <c r="J426"/>
      <c r="K426"/>
      <c r="L426"/>
      <c r="M426"/>
    </row>
    <row r="427" spans="2:13">
      <c r="B427"/>
      <c r="C427"/>
      <c r="D427"/>
      <c r="E427"/>
      <c r="F427"/>
      <c r="G427"/>
      <c r="H427"/>
      <c r="I427"/>
      <c r="J427"/>
      <c r="K427"/>
      <c r="L427"/>
      <c r="M427"/>
    </row>
    <row r="428" spans="2:13">
      <c r="B428"/>
      <c r="C428"/>
      <c r="D428"/>
      <c r="E428"/>
      <c r="F428"/>
      <c r="G428"/>
      <c r="H428"/>
      <c r="I428"/>
      <c r="J428"/>
      <c r="K428"/>
      <c r="L428"/>
      <c r="M428"/>
    </row>
    <row r="429" spans="2:13">
      <c r="B429"/>
      <c r="C429"/>
      <c r="D429"/>
      <c r="E429"/>
      <c r="F429"/>
      <c r="G429"/>
      <c r="H429"/>
      <c r="I429"/>
      <c r="J429"/>
      <c r="K429"/>
      <c r="L429"/>
      <c r="M429"/>
    </row>
    <row r="430" spans="2:13">
      <c r="B430"/>
      <c r="C430"/>
      <c r="D430"/>
      <c r="E430"/>
      <c r="F430"/>
      <c r="G430"/>
      <c r="H430"/>
      <c r="I430"/>
      <c r="J430"/>
      <c r="K430"/>
      <c r="L430"/>
      <c r="M430"/>
    </row>
    <row r="431" spans="2:13">
      <c r="B431"/>
      <c r="C431"/>
      <c r="D431"/>
      <c r="E431"/>
      <c r="F431"/>
      <c r="G431"/>
      <c r="H431"/>
      <c r="I431"/>
      <c r="J431"/>
      <c r="K431"/>
      <c r="L431"/>
      <c r="M431"/>
    </row>
    <row r="432" spans="2:13">
      <c r="B432"/>
      <c r="C432"/>
      <c r="D432"/>
      <c r="E432"/>
      <c r="F432"/>
      <c r="G432"/>
      <c r="H432"/>
      <c r="I432"/>
      <c r="J432"/>
      <c r="K432"/>
      <c r="L432"/>
      <c r="M432"/>
    </row>
    <row r="433" spans="2:13">
      <c r="B433"/>
      <c r="C433"/>
      <c r="D433"/>
      <c r="E433"/>
      <c r="F433"/>
      <c r="G433"/>
      <c r="H433"/>
      <c r="I433"/>
      <c r="J433"/>
      <c r="K433"/>
      <c r="L433"/>
      <c r="M433"/>
    </row>
    <row r="434" spans="2:13">
      <c r="B434"/>
      <c r="C434"/>
      <c r="D434"/>
      <c r="E434"/>
      <c r="F434"/>
      <c r="G434"/>
      <c r="H434"/>
      <c r="I434"/>
      <c r="J434"/>
      <c r="K434"/>
      <c r="L434"/>
      <c r="M434"/>
    </row>
    <row r="435" spans="2:13">
      <c r="B435"/>
      <c r="C435"/>
      <c r="D435"/>
      <c r="E435"/>
      <c r="F435"/>
      <c r="G435"/>
      <c r="H435"/>
      <c r="I435"/>
      <c r="J435"/>
      <c r="K435"/>
      <c r="L435"/>
      <c r="M435"/>
    </row>
    <row r="436" spans="2:13">
      <c r="B436"/>
      <c r="C436"/>
      <c r="D436"/>
      <c r="E436"/>
      <c r="F436"/>
      <c r="G436"/>
      <c r="H436"/>
      <c r="I436"/>
      <c r="J436"/>
      <c r="K436"/>
      <c r="L436"/>
      <c r="M436"/>
    </row>
    <row r="437" spans="2:13">
      <c r="B437"/>
      <c r="C437"/>
      <c r="D437"/>
      <c r="E437"/>
      <c r="F437"/>
      <c r="G437"/>
      <c r="H437"/>
      <c r="I437"/>
      <c r="J437"/>
      <c r="K437"/>
      <c r="L437"/>
      <c r="M437"/>
    </row>
    <row r="438" spans="2:13">
      <c r="B438"/>
      <c r="C438"/>
      <c r="D438"/>
      <c r="E438"/>
      <c r="F438"/>
      <c r="G438"/>
      <c r="H438"/>
      <c r="I438"/>
      <c r="J438"/>
      <c r="K438"/>
      <c r="L438"/>
      <c r="M438"/>
    </row>
    <row r="439" spans="2:13">
      <c r="B439"/>
      <c r="C439"/>
      <c r="D439"/>
      <c r="E439"/>
      <c r="F439"/>
      <c r="G439"/>
      <c r="H439"/>
      <c r="I439"/>
      <c r="J439"/>
      <c r="K439"/>
      <c r="L439"/>
      <c r="M439"/>
    </row>
    <row r="440" spans="2:13">
      <c r="B440"/>
      <c r="C440"/>
      <c r="D440"/>
      <c r="E440"/>
      <c r="F440"/>
      <c r="G440"/>
      <c r="H440"/>
      <c r="I440"/>
      <c r="J440"/>
      <c r="K440"/>
      <c r="L440"/>
      <c r="M440"/>
    </row>
    <row r="441" spans="2:13">
      <c r="B441"/>
      <c r="C441"/>
      <c r="D441"/>
      <c r="E441"/>
      <c r="F441"/>
      <c r="G441"/>
      <c r="H441"/>
      <c r="I441"/>
      <c r="J441"/>
      <c r="K441"/>
      <c r="L441"/>
      <c r="M441"/>
    </row>
    <row r="442" spans="2:13">
      <c r="B442"/>
      <c r="C442"/>
      <c r="D442"/>
      <c r="E442"/>
      <c r="F442"/>
      <c r="G442"/>
      <c r="H442"/>
      <c r="I442"/>
      <c r="J442"/>
      <c r="K442"/>
      <c r="L442"/>
      <c r="M442"/>
    </row>
    <row r="443" spans="2:13">
      <c r="B443"/>
      <c r="C443"/>
      <c r="D443"/>
      <c r="E443"/>
      <c r="F443"/>
      <c r="G443"/>
      <c r="H443"/>
      <c r="I443"/>
      <c r="J443"/>
      <c r="K443"/>
      <c r="L443"/>
      <c r="M443"/>
    </row>
    <row r="444" spans="2:13">
      <c r="B444"/>
      <c r="C444"/>
      <c r="D444"/>
      <c r="E444"/>
      <c r="F444"/>
      <c r="G444"/>
      <c r="H444"/>
      <c r="I444"/>
      <c r="J444"/>
      <c r="K444"/>
      <c r="L444"/>
      <c r="M444"/>
    </row>
    <row r="445" spans="2:13">
      <c r="B445"/>
      <c r="C445"/>
      <c r="D445"/>
      <c r="E445"/>
      <c r="F445"/>
      <c r="G445"/>
      <c r="H445"/>
      <c r="I445"/>
      <c r="J445"/>
      <c r="K445"/>
      <c r="L445"/>
      <c r="M445"/>
    </row>
    <row r="446" spans="2:13">
      <c r="B446"/>
      <c r="C446"/>
      <c r="D446"/>
      <c r="E446"/>
      <c r="F446"/>
      <c r="G446"/>
      <c r="H446"/>
      <c r="I446"/>
      <c r="J446"/>
      <c r="K446"/>
      <c r="L446"/>
      <c r="M446"/>
    </row>
    <row r="447" spans="2:13">
      <c r="B447"/>
      <c r="C447"/>
      <c r="D447"/>
      <c r="E447"/>
      <c r="F447"/>
      <c r="G447"/>
      <c r="H447"/>
      <c r="I447"/>
      <c r="J447"/>
      <c r="K447"/>
      <c r="L447"/>
      <c r="M447"/>
    </row>
    <row r="448" spans="2:13">
      <c r="B448"/>
      <c r="C448"/>
      <c r="D448"/>
      <c r="E448"/>
      <c r="F448"/>
      <c r="G448"/>
      <c r="H448"/>
      <c r="I448"/>
      <c r="J448"/>
      <c r="K448"/>
      <c r="L448"/>
      <c r="M448"/>
    </row>
    <row r="449" spans="2:13">
      <c r="B449"/>
      <c r="C449"/>
      <c r="D449"/>
      <c r="E449"/>
      <c r="F449"/>
      <c r="G449"/>
      <c r="H449"/>
      <c r="I449"/>
      <c r="J449"/>
      <c r="K449"/>
      <c r="L449"/>
      <c r="M449"/>
    </row>
    <row r="450" spans="2:13">
      <c r="B450"/>
      <c r="C450"/>
      <c r="D450"/>
      <c r="E450"/>
      <c r="F450"/>
      <c r="G450"/>
      <c r="H450"/>
      <c r="I450"/>
      <c r="J450"/>
      <c r="K450"/>
      <c r="L450"/>
      <c r="M450"/>
    </row>
    <row r="451" spans="2:13">
      <c r="B451"/>
      <c r="C451"/>
      <c r="D451"/>
      <c r="E451"/>
      <c r="F451"/>
      <c r="G451"/>
      <c r="H451"/>
      <c r="I451"/>
      <c r="J451"/>
      <c r="K451"/>
      <c r="L451"/>
      <c r="M451"/>
    </row>
    <row r="452" spans="2:13">
      <c r="B452"/>
      <c r="C452"/>
      <c r="D452"/>
      <c r="E452"/>
      <c r="F452"/>
      <c r="G452"/>
      <c r="H452"/>
      <c r="I452"/>
      <c r="J452"/>
      <c r="K452"/>
      <c r="L452"/>
      <c r="M452"/>
    </row>
    <row r="453" spans="2:13">
      <c r="B453"/>
      <c r="C453"/>
      <c r="D453"/>
      <c r="E453"/>
      <c r="F453"/>
      <c r="G453"/>
      <c r="H453"/>
      <c r="I453"/>
      <c r="J453"/>
      <c r="K453"/>
      <c r="L453"/>
      <c r="M453"/>
    </row>
    <row r="454" spans="2:13">
      <c r="B454"/>
      <c r="C454"/>
      <c r="D454"/>
      <c r="E454"/>
      <c r="F454"/>
      <c r="G454"/>
      <c r="H454"/>
      <c r="I454"/>
      <c r="J454"/>
      <c r="K454"/>
      <c r="L454"/>
      <c r="M454"/>
    </row>
    <row r="455" spans="2:13">
      <c r="B455"/>
      <c r="C455"/>
      <c r="D455"/>
      <c r="E455"/>
      <c r="F455"/>
      <c r="G455"/>
      <c r="H455"/>
      <c r="I455"/>
      <c r="J455"/>
      <c r="K455"/>
      <c r="L455"/>
      <c r="M455"/>
    </row>
    <row r="456" spans="2:13" ht="15.75" thickBot="1">
      <c r="B456"/>
      <c r="C456"/>
      <c r="D456"/>
      <c r="E456"/>
      <c r="F456"/>
      <c r="G456"/>
      <c r="H456"/>
      <c r="I456"/>
      <c r="J456"/>
      <c r="K456"/>
      <c r="L456"/>
      <c r="M456"/>
    </row>
    <row r="457" spans="2:13" ht="15.75" thickBot="1">
      <c r="B457"/>
      <c r="C457"/>
      <c r="D457"/>
      <c r="E457"/>
      <c r="F457"/>
      <c r="G457"/>
      <c r="H457"/>
      <c r="I457"/>
      <c r="J457"/>
      <c r="K457"/>
      <c r="L457"/>
      <c r="M457"/>
    </row>
    <row r="458" spans="2:13">
      <c r="B458"/>
      <c r="C458"/>
      <c r="D458"/>
      <c r="E458"/>
      <c r="F458"/>
      <c r="G458"/>
      <c r="H458"/>
      <c r="I458"/>
      <c r="J458"/>
      <c r="K458"/>
      <c r="L458"/>
      <c r="M458"/>
    </row>
    <row r="459" spans="2:13">
      <c r="B459"/>
      <c r="C459"/>
      <c r="D459"/>
      <c r="E459"/>
      <c r="F459"/>
      <c r="G459"/>
      <c r="H459"/>
      <c r="I459"/>
      <c r="J459"/>
      <c r="K459"/>
      <c r="L459"/>
      <c r="M459"/>
    </row>
    <row r="460" spans="2:13">
      <c r="B460"/>
      <c r="C460"/>
      <c r="D460"/>
      <c r="E460"/>
      <c r="F460"/>
      <c r="G460"/>
      <c r="H460"/>
      <c r="I460"/>
      <c r="J460"/>
      <c r="K460"/>
      <c r="L460"/>
      <c r="M460"/>
    </row>
    <row r="461" spans="2:13">
      <c r="B461"/>
      <c r="C461"/>
      <c r="D461"/>
      <c r="E461"/>
      <c r="F461"/>
      <c r="G461"/>
      <c r="H461"/>
      <c r="I461"/>
      <c r="J461"/>
      <c r="K461"/>
      <c r="L461"/>
      <c r="M461"/>
    </row>
    <row r="462" spans="2:13">
      <c r="B462"/>
      <c r="C462"/>
      <c r="D462"/>
      <c r="E462"/>
      <c r="F462"/>
      <c r="G462"/>
      <c r="H462"/>
      <c r="I462"/>
      <c r="J462"/>
      <c r="K462"/>
      <c r="L462"/>
      <c r="M462"/>
    </row>
    <row r="463" spans="2:13">
      <c r="B463"/>
      <c r="C463"/>
      <c r="D463"/>
      <c r="E463"/>
      <c r="F463"/>
      <c r="G463"/>
      <c r="H463"/>
      <c r="I463"/>
      <c r="J463"/>
      <c r="K463"/>
      <c r="L463"/>
      <c r="M463"/>
    </row>
    <row r="464" spans="2:13">
      <c r="B464"/>
      <c r="C464"/>
      <c r="D464"/>
      <c r="E464"/>
      <c r="F464"/>
      <c r="G464"/>
      <c r="H464"/>
      <c r="I464"/>
      <c r="J464"/>
      <c r="K464"/>
      <c r="L464"/>
      <c r="M464"/>
    </row>
    <row r="465" spans="2:13">
      <c r="B465"/>
      <c r="C465"/>
      <c r="D465"/>
      <c r="E465"/>
      <c r="F465"/>
      <c r="G465"/>
      <c r="H465"/>
      <c r="I465"/>
      <c r="J465"/>
      <c r="K465"/>
      <c r="L465"/>
      <c r="M465"/>
    </row>
    <row r="466" spans="2:13">
      <c r="B466"/>
      <c r="C466"/>
      <c r="D466"/>
      <c r="E466"/>
      <c r="F466"/>
      <c r="G466"/>
      <c r="H466"/>
      <c r="I466"/>
      <c r="J466"/>
      <c r="K466"/>
      <c r="L466"/>
      <c r="M466"/>
    </row>
    <row r="467" spans="2:13">
      <c r="B467"/>
      <c r="C467"/>
      <c r="D467"/>
      <c r="E467"/>
      <c r="F467"/>
      <c r="G467"/>
      <c r="H467"/>
      <c r="I467"/>
      <c r="J467"/>
      <c r="K467"/>
      <c r="L467"/>
      <c r="M467"/>
    </row>
    <row r="468" spans="2:13">
      <c r="B468"/>
      <c r="C468"/>
      <c r="D468"/>
      <c r="E468"/>
      <c r="F468"/>
      <c r="G468"/>
      <c r="H468"/>
      <c r="I468"/>
      <c r="J468"/>
      <c r="K468"/>
      <c r="L468"/>
      <c r="M468"/>
    </row>
    <row r="469" spans="2:13">
      <c r="B469"/>
      <c r="C469"/>
      <c r="D469"/>
      <c r="E469"/>
      <c r="F469"/>
      <c r="G469"/>
      <c r="H469"/>
      <c r="I469"/>
      <c r="J469"/>
      <c r="K469"/>
      <c r="L469"/>
      <c r="M469"/>
    </row>
    <row r="470" spans="2:13">
      <c r="B470"/>
      <c r="C470"/>
      <c r="D470"/>
      <c r="E470"/>
      <c r="F470"/>
      <c r="G470"/>
      <c r="H470"/>
      <c r="I470"/>
      <c r="J470"/>
      <c r="K470"/>
      <c r="L470"/>
      <c r="M470"/>
    </row>
    <row r="471" spans="2:13">
      <c r="B471"/>
      <c r="C471"/>
      <c r="D471"/>
      <c r="E471"/>
      <c r="F471"/>
      <c r="G471"/>
      <c r="H471"/>
      <c r="I471"/>
      <c r="J471"/>
      <c r="K471"/>
      <c r="L471"/>
      <c r="M471"/>
    </row>
    <row r="472" spans="2:13">
      <c r="B472"/>
      <c r="C472"/>
      <c r="D472"/>
      <c r="E472"/>
      <c r="F472"/>
      <c r="G472"/>
      <c r="H472"/>
      <c r="I472"/>
      <c r="J472"/>
      <c r="K472"/>
      <c r="L472"/>
      <c r="M472"/>
    </row>
    <row r="473" spans="2:13">
      <c r="B473"/>
      <c r="C473"/>
      <c r="D473"/>
      <c r="E473"/>
      <c r="F473"/>
      <c r="G473"/>
      <c r="H473"/>
      <c r="I473"/>
      <c r="J473"/>
      <c r="K473"/>
      <c r="L473"/>
      <c r="M473"/>
    </row>
    <row r="474" spans="2:13">
      <c r="B474"/>
      <c r="C474"/>
      <c r="D474"/>
      <c r="E474"/>
      <c r="F474"/>
      <c r="G474"/>
      <c r="H474"/>
      <c r="I474"/>
      <c r="J474"/>
      <c r="K474"/>
      <c r="L474"/>
      <c r="M474"/>
    </row>
    <row r="475" spans="2:13">
      <c r="B475"/>
      <c r="C475"/>
      <c r="D475"/>
      <c r="E475"/>
      <c r="F475"/>
      <c r="G475"/>
      <c r="H475"/>
      <c r="I475"/>
      <c r="J475"/>
      <c r="K475"/>
      <c r="L475"/>
      <c r="M475"/>
    </row>
    <row r="476" spans="2:13">
      <c r="B476"/>
      <c r="C476"/>
      <c r="D476"/>
      <c r="E476"/>
      <c r="F476"/>
      <c r="G476"/>
      <c r="H476"/>
      <c r="I476"/>
      <c r="J476"/>
      <c r="K476"/>
      <c r="L476"/>
      <c r="M476"/>
    </row>
    <row r="477" spans="2:13">
      <c r="B477"/>
      <c r="C477"/>
      <c r="D477"/>
      <c r="E477"/>
      <c r="F477"/>
      <c r="G477"/>
      <c r="H477"/>
      <c r="I477"/>
      <c r="J477"/>
      <c r="K477"/>
      <c r="L477"/>
      <c r="M477"/>
    </row>
    <row r="478" spans="2:13">
      <c r="B478"/>
      <c r="C478"/>
      <c r="D478"/>
      <c r="E478"/>
      <c r="F478"/>
      <c r="G478"/>
      <c r="H478"/>
      <c r="I478"/>
      <c r="J478"/>
      <c r="K478"/>
      <c r="L478"/>
      <c r="M478"/>
    </row>
    <row r="479" spans="2:13">
      <c r="B479"/>
      <c r="C479"/>
      <c r="D479"/>
      <c r="E479"/>
      <c r="F479"/>
      <c r="G479"/>
      <c r="H479"/>
      <c r="I479"/>
      <c r="J479"/>
      <c r="K479"/>
      <c r="L479"/>
      <c r="M479"/>
    </row>
    <row r="480" spans="2:13">
      <c r="B480"/>
      <c r="C480"/>
      <c r="D480"/>
      <c r="E480"/>
      <c r="F480"/>
      <c r="G480"/>
      <c r="H480"/>
      <c r="I480"/>
      <c r="J480"/>
      <c r="K480"/>
      <c r="L480"/>
      <c r="M480"/>
    </row>
    <row r="481" spans="2:13">
      <c r="B481"/>
      <c r="C481"/>
      <c r="D481"/>
      <c r="E481"/>
      <c r="F481"/>
      <c r="G481"/>
      <c r="H481"/>
      <c r="I481"/>
      <c r="J481"/>
      <c r="K481"/>
      <c r="L481"/>
      <c r="M481"/>
    </row>
    <row r="482" spans="2:13">
      <c r="B482"/>
      <c r="C482"/>
      <c r="D482"/>
      <c r="E482"/>
      <c r="F482"/>
      <c r="G482"/>
      <c r="H482"/>
      <c r="I482"/>
      <c r="J482"/>
      <c r="K482"/>
      <c r="L482"/>
      <c r="M482"/>
    </row>
    <row r="483" spans="2:13">
      <c r="B483"/>
      <c r="C483"/>
      <c r="D483"/>
      <c r="E483"/>
      <c r="F483"/>
      <c r="G483"/>
      <c r="H483"/>
      <c r="I483"/>
      <c r="J483"/>
      <c r="K483"/>
      <c r="L483"/>
      <c r="M483"/>
    </row>
    <row r="484" spans="2:13">
      <c r="B484"/>
      <c r="C484"/>
      <c r="D484"/>
      <c r="E484"/>
      <c r="F484"/>
      <c r="G484"/>
      <c r="H484"/>
      <c r="I484"/>
      <c r="J484"/>
      <c r="K484"/>
      <c r="L484"/>
      <c r="M484"/>
    </row>
    <row r="485" spans="2:13">
      <c r="B485"/>
      <c r="C485"/>
      <c r="D485"/>
      <c r="E485"/>
      <c r="F485"/>
      <c r="G485"/>
      <c r="H485"/>
      <c r="I485"/>
      <c r="J485"/>
      <c r="K485"/>
      <c r="L485"/>
      <c r="M485"/>
    </row>
    <row r="486" spans="2:13">
      <c r="B486"/>
      <c r="C486"/>
      <c r="D486"/>
      <c r="E486"/>
      <c r="F486"/>
      <c r="G486"/>
      <c r="H486"/>
      <c r="I486"/>
      <c r="J486"/>
      <c r="K486"/>
      <c r="L486"/>
      <c r="M486"/>
    </row>
    <row r="487" spans="2:13">
      <c r="B487"/>
      <c r="C487"/>
      <c r="D487"/>
      <c r="E487"/>
      <c r="F487"/>
      <c r="G487"/>
      <c r="H487"/>
      <c r="I487"/>
      <c r="J487"/>
      <c r="K487"/>
      <c r="L487"/>
      <c r="M487"/>
    </row>
    <row r="488" spans="2:13">
      <c r="B488"/>
      <c r="C488"/>
      <c r="D488"/>
      <c r="E488"/>
      <c r="F488"/>
      <c r="G488"/>
      <c r="H488"/>
      <c r="I488"/>
      <c r="J488"/>
      <c r="K488"/>
      <c r="L488"/>
      <c r="M488"/>
    </row>
    <row r="489" spans="2:13">
      <c r="B489"/>
      <c r="C489"/>
      <c r="D489"/>
      <c r="E489"/>
      <c r="F489"/>
      <c r="G489"/>
      <c r="H489"/>
      <c r="I489"/>
      <c r="J489"/>
      <c r="K489"/>
      <c r="L489"/>
      <c r="M489"/>
    </row>
    <row r="490" spans="2:13">
      <c r="B490"/>
      <c r="C490"/>
      <c r="D490"/>
      <c r="E490"/>
      <c r="F490"/>
      <c r="G490"/>
      <c r="H490"/>
      <c r="I490"/>
      <c r="J490"/>
      <c r="K490"/>
      <c r="L490"/>
      <c r="M490"/>
    </row>
    <row r="491" spans="2:13">
      <c r="B491"/>
      <c r="C491"/>
      <c r="D491"/>
      <c r="E491"/>
      <c r="F491"/>
      <c r="G491"/>
      <c r="H491"/>
      <c r="I491"/>
      <c r="J491"/>
      <c r="K491"/>
      <c r="L491"/>
      <c r="M491"/>
    </row>
    <row r="492" spans="2:13">
      <c r="B492"/>
      <c r="C492"/>
      <c r="D492"/>
      <c r="E492"/>
      <c r="F492"/>
      <c r="G492"/>
      <c r="H492"/>
      <c r="I492"/>
      <c r="J492"/>
      <c r="K492"/>
      <c r="L492"/>
      <c r="M492"/>
    </row>
    <row r="493" spans="2:13">
      <c r="B493"/>
      <c r="C493"/>
      <c r="D493"/>
      <c r="E493"/>
      <c r="F493"/>
      <c r="G493"/>
      <c r="H493"/>
      <c r="I493"/>
      <c r="J493"/>
      <c r="K493"/>
      <c r="L493"/>
      <c r="M493"/>
    </row>
    <row r="494" spans="2:13">
      <c r="B494"/>
      <c r="C494"/>
      <c r="D494"/>
      <c r="E494"/>
      <c r="F494"/>
      <c r="G494"/>
      <c r="H494"/>
      <c r="I494"/>
      <c r="J494"/>
      <c r="K494"/>
      <c r="L494"/>
      <c r="M494"/>
    </row>
    <row r="495" spans="2:13">
      <c r="B495"/>
      <c r="C495"/>
      <c r="D495"/>
      <c r="E495"/>
      <c r="F495"/>
      <c r="G495"/>
      <c r="H495"/>
      <c r="I495"/>
      <c r="J495"/>
      <c r="K495"/>
      <c r="L495"/>
      <c r="M495"/>
    </row>
    <row r="496" spans="2:13">
      <c r="B496"/>
      <c r="C496"/>
      <c r="D496"/>
      <c r="E496"/>
      <c r="F496"/>
      <c r="G496"/>
      <c r="H496"/>
      <c r="I496"/>
      <c r="J496"/>
      <c r="K496"/>
      <c r="L496"/>
      <c r="M49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J2"/>
  <sheetViews>
    <sheetView workbookViewId="0">
      <selection activeCell="B10" sqref="B10"/>
    </sheetView>
  </sheetViews>
  <sheetFormatPr defaultColWidth="9.140625" defaultRowHeight="15"/>
  <cols>
    <col min="1" max="1" width="7.5703125" style="12" bestFit="1" customWidth="1"/>
    <col min="2" max="2" width="38.28515625" style="12" bestFit="1" customWidth="1"/>
    <col min="3" max="3" width="13.140625" style="12" bestFit="1" customWidth="1"/>
    <col min="4" max="4" width="12.85546875" style="8" bestFit="1" customWidth="1"/>
    <col min="5" max="5" width="13.140625" style="8" bestFit="1" customWidth="1"/>
    <col min="6" max="6" width="13.5703125" style="18" bestFit="1" customWidth="1"/>
    <col min="7" max="7" width="12.85546875" style="12" bestFit="1" customWidth="1"/>
    <col min="8" max="8" width="10.5703125" style="15" bestFit="1" customWidth="1"/>
    <col min="9" max="9" width="12.7109375" style="15" bestFit="1" customWidth="1"/>
    <col min="10" max="10" width="53.85546875" style="12" bestFit="1" customWidth="1"/>
    <col min="11" max="16384" width="9.140625" style="12"/>
  </cols>
  <sheetData>
    <row r="1" spans="1:10" ht="16.5" thickTop="1" thickBot="1">
      <c r="A1" s="11" t="s">
        <v>25</v>
      </c>
      <c r="B1" s="27" t="s">
        <v>26</v>
      </c>
      <c r="C1" s="31" t="s">
        <v>27</v>
      </c>
      <c r="D1" s="29" t="s">
        <v>28</v>
      </c>
      <c r="E1" s="9" t="s">
        <v>29</v>
      </c>
      <c r="F1" s="14" t="s">
        <v>30</v>
      </c>
      <c r="G1" s="11" t="s">
        <v>31</v>
      </c>
      <c r="H1" s="19" t="s">
        <v>32</v>
      </c>
      <c r="I1" s="19" t="s">
        <v>36</v>
      </c>
      <c r="J1" s="11" t="s">
        <v>33</v>
      </c>
    </row>
    <row r="2" spans="1:10" ht="15.75" thickTop="1">
      <c r="A2" s="10" t="e">
        <f>VLOOKUP(C2,Data!D:J,7,0)</f>
        <v>#N/A</v>
      </c>
      <c r="B2" s="28" t="e">
        <f>VLOOKUP(C2,Data!D:Z,23,0)</f>
        <v>#N/A</v>
      </c>
      <c r="C2" s="88"/>
      <c r="D2" s="30" t="e">
        <f>VLOOKUP(C2,Data!D:K,8,0)</f>
        <v>#N/A</v>
      </c>
      <c r="E2" s="13" t="e">
        <f>VLOOKUP(C2,Data!D:L,9,0)</f>
        <v>#N/A</v>
      </c>
      <c r="F2" s="16" t="e">
        <f>VLOOKUP(C2,Data!D:M,10,0)</f>
        <v>#N/A</v>
      </c>
      <c r="G2" s="10" t="e">
        <f>VLOOKUP(C2,Data!D:N,11,0)</f>
        <v>#N/A</v>
      </c>
      <c r="H2" s="17" t="e">
        <f>VLOOKUP(C2,Data!D:Q,14,0)</f>
        <v>#N/A</v>
      </c>
      <c r="I2" s="17" t="e">
        <f>VLOOKUP(C2,Data!D:AC,19,0)</f>
        <v>#N/A</v>
      </c>
      <c r="J2" s="10" t="e">
        <f>VLOOKUP(C2,Data!D:H,5,0)</f>
        <v>#N/A</v>
      </c>
    </row>
  </sheetData>
  <autoFilter ref="A1:J2">
    <sortState ref="A2:J2">
      <sortCondition ref="B1:B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-0.249977111117893"/>
  </sheetPr>
  <dimension ref="A1:AF2"/>
  <sheetViews>
    <sheetView zoomScale="90" zoomScaleNormal="90" workbookViewId="0">
      <selection activeCell="W10" sqref="W10"/>
    </sheetView>
  </sheetViews>
  <sheetFormatPr defaultColWidth="9.140625" defaultRowHeight="15"/>
  <cols>
    <col min="1" max="1" width="13.85546875" style="90" bestFit="1" customWidth="1"/>
    <col min="2" max="2" width="15.140625" style="90" customWidth="1"/>
    <col min="3" max="3" width="5.28515625" style="90" customWidth="1"/>
    <col min="4" max="4" width="12.7109375" style="90" customWidth="1"/>
    <col min="5" max="5" width="22" style="90" customWidth="1"/>
    <col min="6" max="6" width="3.28515625" style="90" customWidth="1"/>
    <col min="7" max="7" width="17.5703125" style="90" customWidth="1"/>
    <col min="8" max="8" width="53.85546875" style="90" customWidth="1"/>
    <col min="9" max="9" width="12.140625" style="90" customWidth="1"/>
    <col min="10" max="10" width="5.5703125" style="90" customWidth="1"/>
    <col min="11" max="11" width="14" style="90" bestFit="1" customWidth="1"/>
    <col min="12" max="12" width="12.5703125" style="90" bestFit="1" customWidth="1"/>
    <col min="13" max="13" width="22" style="90" bestFit="1" customWidth="1"/>
    <col min="14" max="14" width="13.5703125" style="90" bestFit="1" customWidth="1"/>
    <col min="15" max="15" width="18" style="90" bestFit="1" customWidth="1"/>
    <col min="16" max="16" width="14.85546875" style="90" bestFit="1" customWidth="1"/>
    <col min="17" max="17" width="22.42578125" style="90" bestFit="1" customWidth="1"/>
    <col min="18" max="18" width="11.85546875" style="90" bestFit="1" customWidth="1"/>
    <col min="19" max="19" width="18.140625" style="90" bestFit="1" customWidth="1"/>
    <col min="20" max="20" width="17.42578125" style="90" bestFit="1" customWidth="1"/>
    <col min="21" max="21" width="14.85546875" style="90" bestFit="1" customWidth="1"/>
    <col min="22" max="22" width="15.140625" style="90" bestFit="1" customWidth="1"/>
    <col min="23" max="23" width="14.85546875" style="90" bestFit="1" customWidth="1"/>
    <col min="24" max="24" width="21.5703125" style="90" bestFit="1" customWidth="1"/>
    <col min="25" max="25" width="14.28515625" style="91" customWidth="1"/>
    <col min="26" max="26" width="27.28515625" style="91" customWidth="1"/>
    <col min="27" max="27" width="11.42578125" style="91" bestFit="1" customWidth="1"/>
    <col min="28" max="29" width="17.28515625" style="91" bestFit="1" customWidth="1"/>
    <col min="30" max="30" width="13.5703125" style="90" bestFit="1" customWidth="1"/>
    <col min="31" max="31" width="16" style="90" bestFit="1" customWidth="1"/>
    <col min="32" max="32" width="28.42578125" style="90" bestFit="1" customWidth="1"/>
    <col min="33" max="16384" width="9.140625" style="90"/>
  </cols>
  <sheetData>
    <row r="1" spans="1:32" s="1" customFormat="1" ht="15.75" thickBot="1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2" t="s">
        <v>0</v>
      </c>
      <c r="L1" s="2" t="s">
        <v>1</v>
      </c>
      <c r="M1" s="2" t="s">
        <v>2</v>
      </c>
      <c r="N1" s="2" t="s">
        <v>3</v>
      </c>
      <c r="O1" s="2" t="s">
        <v>4</v>
      </c>
      <c r="P1" s="2" t="s">
        <v>5</v>
      </c>
      <c r="Q1" s="2" t="s">
        <v>6</v>
      </c>
      <c r="R1" s="37" t="s">
        <v>749</v>
      </c>
      <c r="S1" s="37" t="s">
        <v>750</v>
      </c>
      <c r="T1" s="37" t="s">
        <v>751</v>
      </c>
      <c r="U1" s="37" t="s">
        <v>752</v>
      </c>
      <c r="V1" s="37" t="s">
        <v>753</v>
      </c>
      <c r="W1" s="36" t="s">
        <v>754</v>
      </c>
      <c r="X1" s="35" t="s">
        <v>755</v>
      </c>
      <c r="Y1" s="4" t="s">
        <v>21</v>
      </c>
      <c r="Z1" s="5" t="s">
        <v>17</v>
      </c>
      <c r="AA1" s="5" t="s">
        <v>1365</v>
      </c>
      <c r="AB1" s="5" t="s">
        <v>19</v>
      </c>
      <c r="AC1" s="5" t="s">
        <v>36</v>
      </c>
      <c r="AD1" s="1" t="s">
        <v>47</v>
      </c>
      <c r="AE1" s="5" t="s">
        <v>882</v>
      </c>
      <c r="AF1" s="1" t="s">
        <v>18</v>
      </c>
    </row>
    <row r="2" spans="1:32" s="3" customFormat="1" ht="15" customHeight="1">
      <c r="A2" s="89"/>
      <c r="B2" s="88"/>
      <c r="C2" s="84"/>
      <c r="D2" s="88"/>
      <c r="E2" s="88"/>
      <c r="F2" s="84"/>
      <c r="G2" s="84"/>
      <c r="H2" s="84"/>
      <c r="I2" s="88"/>
      <c r="J2" s="88"/>
      <c r="K2" s="85"/>
      <c r="L2" s="85"/>
      <c r="M2" s="86"/>
      <c r="N2" s="84"/>
      <c r="O2" s="86"/>
      <c r="P2" s="84"/>
      <c r="Q2" s="87"/>
      <c r="R2" s="85"/>
      <c r="S2" s="86"/>
      <c r="T2" s="84"/>
      <c r="U2" s="88"/>
      <c r="V2" s="88"/>
      <c r="W2" s="88"/>
      <c r="X2" s="88"/>
      <c r="Y2" s="6" t="str">
        <f>IF(Q2&lt;=0,"Current",IF(Q2&lt;=30,"1 - 30",IF(Q2&lt;=60,"31 - 60",IF(Q2&lt;=90,"61 - 90",IF(Q2&lt;=120,"91 - 120",IF(Q2&lt;=150,"121 - 150",IF(Q2&lt;=180,"151-180",IF(Q2&lt;=240,"181-240",IF(Q2&lt;=300,"241-300",IF(Q2&lt;=360,"301 - 360","360 +"))))))))))</f>
        <v>Current</v>
      </c>
      <c r="Z2" s="7" t="e">
        <f>VLOOKUP(B2,'BP vs name'!A:B,2,0)</f>
        <v>#N/A</v>
      </c>
      <c r="AA2" s="51" t="e">
        <f>VLOOKUP(B2,'BP vs name'!A:C,3,0)</f>
        <v>#N/A</v>
      </c>
      <c r="AB2" s="7" t="str">
        <f t="shared" ref="AB2" si="0">IF(LEFT(B2,2)="IC","Y","N")</f>
        <v>N</v>
      </c>
      <c r="AC2" s="7" t="str">
        <f>IF(Q2&gt;0,"D","NO")</f>
        <v>NO</v>
      </c>
      <c r="AD2" s="33" t="e">
        <f>VLOOKUP(B2,#REF!,2,0)</f>
        <v>#REF!</v>
      </c>
      <c r="AE2" s="3">
        <f>IFERROR(IF(VLOOKUP(B2,Credimundi!S:S,1,0)&gt;0,"Credimundi",0),IFERROR(IF(VLOOKUP(B2,#REF!,1,0)&gt;0,"Atradius",0),0))</f>
        <v>0</v>
      </c>
      <c r="AF2" s="3" t="e">
        <f>VLOOKUP(B2,'BP vs name'!A:D,4,0)</f>
        <v>#N/A</v>
      </c>
    </row>
  </sheetData>
  <autoFilter ref="A1:AF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D833"/>
  <sheetViews>
    <sheetView topLeftCell="A821" workbookViewId="0">
      <selection activeCell="B838" sqref="B838"/>
    </sheetView>
  </sheetViews>
  <sheetFormatPr defaultColWidth="9.140625" defaultRowHeight="15"/>
  <cols>
    <col min="1" max="1" width="21.85546875" style="25" bestFit="1" customWidth="1"/>
    <col min="2" max="2" width="43.28515625" style="25" bestFit="1" customWidth="1"/>
    <col min="3" max="3" width="31.85546875" style="24" bestFit="1" customWidth="1"/>
    <col min="4" max="4" width="27.85546875" style="24" customWidth="1"/>
    <col min="5" max="16384" width="9.140625" style="24"/>
  </cols>
  <sheetData>
    <row r="1" spans="1:4">
      <c r="A1" s="25" t="s">
        <v>1414</v>
      </c>
      <c r="B1" s="25" t="s">
        <v>1415</v>
      </c>
      <c r="C1" s="24" t="s">
        <v>1416</v>
      </c>
      <c r="D1" s="24" t="s">
        <v>1417</v>
      </c>
    </row>
    <row r="2" spans="1:4">
      <c r="A2" s="34">
        <v>56607314</v>
      </c>
      <c r="B2" s="50" t="s">
        <v>53</v>
      </c>
      <c r="C2" s="50" t="s">
        <v>993</v>
      </c>
      <c r="D2" s="24" t="s">
        <v>1377</v>
      </c>
    </row>
    <row r="3" spans="1:4">
      <c r="A3" s="34">
        <v>56619699</v>
      </c>
      <c r="B3" s="50" t="s">
        <v>55</v>
      </c>
      <c r="C3" s="50" t="s">
        <v>995</v>
      </c>
      <c r="D3" s="24" t="s">
        <v>1419</v>
      </c>
    </row>
    <row r="4" spans="1:4">
      <c r="A4" s="34">
        <v>56619700</v>
      </c>
      <c r="B4" s="50" t="s">
        <v>56</v>
      </c>
      <c r="C4" s="50" t="s">
        <v>996</v>
      </c>
      <c r="D4" s="24" t="s">
        <v>899</v>
      </c>
    </row>
    <row r="5" spans="1:4">
      <c r="A5" s="34">
        <v>56619701</v>
      </c>
      <c r="B5" s="50" t="s">
        <v>57</v>
      </c>
      <c r="C5" s="50" t="s">
        <v>997</v>
      </c>
      <c r="D5" s="24" t="s">
        <v>990</v>
      </c>
    </row>
    <row r="6" spans="1:4">
      <c r="A6" s="34">
        <v>56619702</v>
      </c>
      <c r="B6" s="50" t="s">
        <v>58</v>
      </c>
      <c r="C6" s="50" t="s">
        <v>998</v>
      </c>
      <c r="D6" s="24" t="s">
        <v>926</v>
      </c>
    </row>
    <row r="7" spans="1:4">
      <c r="A7" s="34">
        <v>56619839</v>
      </c>
      <c r="B7" s="50" t="s">
        <v>59</v>
      </c>
      <c r="C7" s="50" t="s">
        <v>999</v>
      </c>
      <c r="D7" s="24" t="s">
        <v>1420</v>
      </c>
    </row>
    <row r="8" spans="1:4">
      <c r="A8" s="34">
        <v>56619840</v>
      </c>
      <c r="B8" s="50" t="s">
        <v>60</v>
      </c>
      <c r="C8" s="50" t="s">
        <v>1000</v>
      </c>
      <c r="D8" s="24" t="s">
        <v>1421</v>
      </c>
    </row>
    <row r="9" spans="1:4">
      <c r="A9" s="34">
        <v>56619841</v>
      </c>
      <c r="B9" s="50" t="s">
        <v>61</v>
      </c>
      <c r="C9" s="50" t="s">
        <v>1001</v>
      </c>
      <c r="D9" s="24" t="s">
        <v>1418</v>
      </c>
    </row>
    <row r="10" spans="1:4">
      <c r="A10" s="34">
        <v>56619842</v>
      </c>
      <c r="B10" s="50" t="s">
        <v>62</v>
      </c>
      <c r="C10" s="50" t="s">
        <v>1002</v>
      </c>
      <c r="D10" s="24" t="s">
        <v>969</v>
      </c>
    </row>
    <row r="11" spans="1:4">
      <c r="A11" s="34">
        <v>56619858</v>
      </c>
      <c r="B11" s="50" t="s">
        <v>64</v>
      </c>
      <c r="C11" s="50" t="s">
        <v>1004</v>
      </c>
      <c r="D11" s="24" t="s">
        <v>1370</v>
      </c>
    </row>
    <row r="12" spans="1:4">
      <c r="A12" s="34">
        <v>56619859</v>
      </c>
      <c r="B12" s="50" t="s">
        <v>65</v>
      </c>
      <c r="C12" s="50" t="s">
        <v>1005</v>
      </c>
      <c r="D12" s="24" t="s">
        <v>915</v>
      </c>
    </row>
    <row r="13" spans="1:4">
      <c r="A13" s="34">
        <v>56619860</v>
      </c>
      <c r="B13" s="50" t="s">
        <v>66</v>
      </c>
      <c r="C13" s="50" t="s">
        <v>1006</v>
      </c>
      <c r="D13" s="24" t="s">
        <v>963</v>
      </c>
    </row>
    <row r="14" spans="1:4">
      <c r="A14" s="34">
        <v>56619861</v>
      </c>
      <c r="B14" s="50" t="s">
        <v>67</v>
      </c>
      <c r="C14" s="50" t="s">
        <v>1007</v>
      </c>
      <c r="D14" s="24" t="s">
        <v>990</v>
      </c>
    </row>
    <row r="15" spans="1:4">
      <c r="A15" s="34">
        <v>56619862</v>
      </c>
      <c r="B15" s="50" t="s">
        <v>68</v>
      </c>
      <c r="C15" s="50" t="s">
        <v>1008</v>
      </c>
      <c r="D15" s="24" t="s">
        <v>929</v>
      </c>
    </row>
    <row r="16" spans="1:4">
      <c r="A16" s="34">
        <v>56619863</v>
      </c>
      <c r="B16" s="50" t="s">
        <v>69</v>
      </c>
      <c r="C16" s="50" t="s">
        <v>1009</v>
      </c>
      <c r="D16" s="24" t="s">
        <v>990</v>
      </c>
    </row>
    <row r="17" spans="1:4">
      <c r="A17" s="34">
        <v>56619864</v>
      </c>
      <c r="B17" s="50" t="s">
        <v>63</v>
      </c>
      <c r="C17" s="50" t="s">
        <v>1003</v>
      </c>
      <c r="D17" s="24" t="s">
        <v>1391</v>
      </c>
    </row>
    <row r="18" spans="1:4">
      <c r="A18" s="34">
        <v>56619865</v>
      </c>
      <c r="B18" s="50" t="s">
        <v>70</v>
      </c>
      <c r="C18" s="50" t="s">
        <v>1010</v>
      </c>
      <c r="D18" s="24" t="s">
        <v>1396</v>
      </c>
    </row>
    <row r="19" spans="1:4">
      <c r="A19" s="34">
        <v>56619866</v>
      </c>
      <c r="B19" s="50" t="s">
        <v>71</v>
      </c>
      <c r="C19" s="50" t="s">
        <v>1011</v>
      </c>
      <c r="D19" s="24" t="s">
        <v>1368</v>
      </c>
    </row>
    <row r="20" spans="1:4">
      <c r="A20" s="34">
        <v>56619867</v>
      </c>
      <c r="B20" s="50" t="s">
        <v>72</v>
      </c>
      <c r="C20" s="50" t="s">
        <v>1012</v>
      </c>
      <c r="D20" s="24" t="s">
        <v>1422</v>
      </c>
    </row>
    <row r="21" spans="1:4">
      <c r="A21" s="34">
        <v>56619868</v>
      </c>
      <c r="B21" s="50" t="s">
        <v>73</v>
      </c>
      <c r="C21" s="50" t="s">
        <v>1013</v>
      </c>
      <c r="D21" s="24" t="s">
        <v>1423</v>
      </c>
    </row>
    <row r="22" spans="1:4">
      <c r="A22" s="34">
        <v>56619869</v>
      </c>
      <c r="B22" s="50" t="s">
        <v>74</v>
      </c>
      <c r="C22" s="50" t="s">
        <v>1014</v>
      </c>
      <c r="D22" s="24" t="s">
        <v>1406</v>
      </c>
    </row>
    <row r="23" spans="1:4">
      <c r="A23" s="34">
        <v>56619870</v>
      </c>
      <c r="B23" s="50" t="s">
        <v>75</v>
      </c>
      <c r="C23" s="50" t="s">
        <v>1015</v>
      </c>
      <c r="D23" s="24" t="s">
        <v>1424</v>
      </c>
    </row>
    <row r="24" spans="1:4">
      <c r="A24" s="34">
        <v>56619871</v>
      </c>
      <c r="B24" s="50" t="s">
        <v>76</v>
      </c>
      <c r="C24" s="50" t="s">
        <v>1016</v>
      </c>
      <c r="D24" s="24" t="s">
        <v>1425</v>
      </c>
    </row>
    <row r="25" spans="1:4">
      <c r="A25" s="34">
        <v>56619872</v>
      </c>
      <c r="B25" s="50" t="s">
        <v>76</v>
      </c>
      <c r="C25" s="50" t="s">
        <v>1017</v>
      </c>
      <c r="D25" s="24" t="s">
        <v>1426</v>
      </c>
    </row>
    <row r="26" spans="1:4">
      <c r="A26" s="34">
        <v>56619873</v>
      </c>
      <c r="B26" s="50" t="s">
        <v>77</v>
      </c>
      <c r="C26" s="50" t="s">
        <v>1018</v>
      </c>
      <c r="D26" s="24" t="s">
        <v>1427</v>
      </c>
    </row>
    <row r="27" spans="1:4">
      <c r="A27" s="34">
        <v>56619874</v>
      </c>
      <c r="B27" s="50" t="s">
        <v>78</v>
      </c>
      <c r="C27" s="50" t="s">
        <v>1019</v>
      </c>
      <c r="D27" s="24" t="s">
        <v>1369</v>
      </c>
    </row>
    <row r="28" spans="1:4">
      <c r="A28" s="34">
        <v>56619875</v>
      </c>
      <c r="B28" s="50" t="s">
        <v>79</v>
      </c>
      <c r="C28" s="50" t="s">
        <v>1020</v>
      </c>
      <c r="D28" s="24" t="s">
        <v>1367</v>
      </c>
    </row>
    <row r="29" spans="1:4">
      <c r="A29" s="34">
        <v>56619876</v>
      </c>
      <c r="B29" s="50" t="s">
        <v>80</v>
      </c>
      <c r="C29" s="50" t="s">
        <v>1021</v>
      </c>
      <c r="D29" s="24" t="s">
        <v>1386</v>
      </c>
    </row>
    <row r="30" spans="1:4">
      <c r="A30" s="34">
        <v>56619877</v>
      </c>
      <c r="B30" s="50" t="s">
        <v>81</v>
      </c>
      <c r="C30" s="50" t="s">
        <v>1022</v>
      </c>
      <c r="D30" s="24" t="s">
        <v>1428</v>
      </c>
    </row>
    <row r="31" spans="1:4">
      <c r="A31" s="34">
        <v>56619878</v>
      </c>
      <c r="B31" s="50" t="s">
        <v>82</v>
      </c>
      <c r="C31" s="50" t="s">
        <v>1023</v>
      </c>
      <c r="D31" s="24" t="s">
        <v>990</v>
      </c>
    </row>
    <row r="32" spans="1:4">
      <c r="A32" s="34">
        <v>56619879</v>
      </c>
      <c r="B32" s="50" t="s">
        <v>83</v>
      </c>
      <c r="C32" s="50" t="s">
        <v>1024</v>
      </c>
      <c r="D32" s="24" t="s">
        <v>976</v>
      </c>
    </row>
    <row r="33" spans="1:4">
      <c r="A33" s="34">
        <v>56619880</v>
      </c>
      <c r="B33" s="50" t="s">
        <v>84</v>
      </c>
      <c r="C33" s="50" t="s">
        <v>1025</v>
      </c>
      <c r="D33" s="24" t="s">
        <v>933</v>
      </c>
    </row>
    <row r="34" spans="1:4">
      <c r="A34" s="34">
        <v>56619881</v>
      </c>
      <c r="B34" s="50" t="s">
        <v>85</v>
      </c>
      <c r="C34" s="50" t="s">
        <v>1026</v>
      </c>
      <c r="D34" s="24" t="s">
        <v>1395</v>
      </c>
    </row>
    <row r="35" spans="1:4">
      <c r="A35" s="34">
        <v>56619883</v>
      </c>
      <c r="B35" s="50" t="s">
        <v>86</v>
      </c>
      <c r="C35" s="50" t="s">
        <v>1027</v>
      </c>
      <c r="D35" s="24" t="s">
        <v>1369</v>
      </c>
    </row>
    <row r="36" spans="1:4">
      <c r="A36" s="34">
        <v>56619888</v>
      </c>
      <c r="B36" s="50" t="s">
        <v>54</v>
      </c>
      <c r="C36" s="50" t="s">
        <v>994</v>
      </c>
      <c r="D36" s="24" t="s">
        <v>1377</v>
      </c>
    </row>
    <row r="37" spans="1:4">
      <c r="A37" s="34">
        <v>56619889</v>
      </c>
      <c r="B37" s="50" t="s">
        <v>87</v>
      </c>
      <c r="C37" s="50" t="s">
        <v>994</v>
      </c>
      <c r="D37" s="24" t="s">
        <v>1377</v>
      </c>
    </row>
    <row r="38" spans="1:4">
      <c r="A38" s="34">
        <v>56619890</v>
      </c>
      <c r="B38" s="50" t="s">
        <v>88</v>
      </c>
      <c r="C38" s="50" t="s">
        <v>1021</v>
      </c>
      <c r="D38" s="24" t="s">
        <v>1386</v>
      </c>
    </row>
    <row r="39" spans="1:4">
      <c r="A39" s="34">
        <v>56619891</v>
      </c>
      <c r="B39" s="50" t="s">
        <v>89</v>
      </c>
      <c r="C39" s="50" t="s">
        <v>1028</v>
      </c>
      <c r="D39" s="24" t="s">
        <v>1387</v>
      </c>
    </row>
    <row r="40" spans="1:4">
      <c r="A40" s="34">
        <v>56619908</v>
      </c>
      <c r="B40" s="50" t="s">
        <v>90</v>
      </c>
      <c r="C40" s="50" t="s">
        <v>1029</v>
      </c>
      <c r="D40" s="24" t="s">
        <v>1380</v>
      </c>
    </row>
    <row r="41" spans="1:4">
      <c r="A41" s="34">
        <v>56619909</v>
      </c>
      <c r="B41" s="50" t="s">
        <v>91</v>
      </c>
      <c r="C41" s="50" t="s">
        <v>1030</v>
      </c>
      <c r="D41" s="24" t="s">
        <v>1429</v>
      </c>
    </row>
    <row r="42" spans="1:4">
      <c r="A42" s="34">
        <v>56620172</v>
      </c>
      <c r="B42" s="50" t="s">
        <v>92</v>
      </c>
      <c r="C42" s="50" t="s">
        <v>1031</v>
      </c>
      <c r="D42" s="24" t="s">
        <v>962</v>
      </c>
    </row>
    <row r="43" spans="1:4">
      <c r="A43" s="34">
        <v>56620177</v>
      </c>
      <c r="B43" s="50" t="s">
        <v>93</v>
      </c>
      <c r="C43" s="50" t="s">
        <v>1032</v>
      </c>
      <c r="D43" s="24" t="s">
        <v>962</v>
      </c>
    </row>
    <row r="44" spans="1:4">
      <c r="A44" s="34">
        <v>56620311</v>
      </c>
      <c r="B44" s="50" t="s">
        <v>1033</v>
      </c>
      <c r="C44" s="50" t="s">
        <v>1034</v>
      </c>
      <c r="D44" s="24" t="s">
        <v>1430</v>
      </c>
    </row>
    <row r="45" spans="1:4">
      <c r="A45" s="34">
        <v>56620323</v>
      </c>
      <c r="B45" s="50" t="s">
        <v>94</v>
      </c>
      <c r="C45" s="50" t="s">
        <v>1035</v>
      </c>
      <c r="D45" s="24" t="s">
        <v>966</v>
      </c>
    </row>
    <row r="46" spans="1:4">
      <c r="A46" s="34">
        <v>56620358</v>
      </c>
      <c r="B46" s="50" t="s">
        <v>95</v>
      </c>
      <c r="C46" s="50" t="s">
        <v>1036</v>
      </c>
      <c r="D46" s="24" t="s">
        <v>989</v>
      </c>
    </row>
    <row r="47" spans="1:4">
      <c r="A47" s="34">
        <v>56620538</v>
      </c>
      <c r="B47" s="50" t="s">
        <v>86</v>
      </c>
      <c r="C47" s="50" t="s">
        <v>1037</v>
      </c>
      <c r="D47" s="24" t="s">
        <v>1369</v>
      </c>
    </row>
    <row r="48" spans="1:4">
      <c r="A48" s="34">
        <v>56620540</v>
      </c>
      <c r="B48" s="50" t="s">
        <v>96</v>
      </c>
      <c r="C48" s="50" t="s">
        <v>1038</v>
      </c>
      <c r="D48" s="24" t="s">
        <v>1431</v>
      </c>
    </row>
    <row r="49" spans="1:4">
      <c r="A49" s="34">
        <v>56620613</v>
      </c>
      <c r="B49" s="50" t="s">
        <v>97</v>
      </c>
      <c r="C49" s="50" t="s">
        <v>1039</v>
      </c>
      <c r="D49" s="24" t="s">
        <v>1432</v>
      </c>
    </row>
    <row r="50" spans="1:4">
      <c r="A50" s="34">
        <v>56620699</v>
      </c>
      <c r="B50" s="50" t="s">
        <v>98</v>
      </c>
      <c r="C50" s="50" t="s">
        <v>1040</v>
      </c>
      <c r="D50" s="24" t="s">
        <v>1411</v>
      </c>
    </row>
    <row r="51" spans="1:4">
      <c r="A51" s="34">
        <v>56620770</v>
      </c>
      <c r="B51" s="50" t="s">
        <v>99</v>
      </c>
      <c r="C51" s="50" t="s">
        <v>1041</v>
      </c>
      <c r="D51" s="24" t="s">
        <v>936</v>
      </c>
    </row>
    <row r="52" spans="1:4">
      <c r="A52" s="34">
        <v>56620853</v>
      </c>
      <c r="B52" s="50" t="s">
        <v>100</v>
      </c>
      <c r="C52" s="50" t="s">
        <v>1042</v>
      </c>
      <c r="D52" s="24" t="s">
        <v>912</v>
      </c>
    </row>
    <row r="53" spans="1:4">
      <c r="A53" s="34">
        <v>56620892</v>
      </c>
      <c r="B53" s="50" t="s">
        <v>101</v>
      </c>
      <c r="C53" s="50" t="s">
        <v>1043</v>
      </c>
      <c r="D53" s="24" t="s">
        <v>1433</v>
      </c>
    </row>
    <row r="54" spans="1:4">
      <c r="A54" s="34">
        <v>56620899</v>
      </c>
      <c r="B54" s="50" t="s">
        <v>102</v>
      </c>
      <c r="C54" s="50" t="s">
        <v>1044</v>
      </c>
      <c r="D54" s="24" t="s">
        <v>1434</v>
      </c>
    </row>
    <row r="55" spans="1:4">
      <c r="A55" s="34">
        <v>56620900</v>
      </c>
      <c r="B55" s="50" t="s">
        <v>103</v>
      </c>
      <c r="C55" s="50" t="s">
        <v>1011</v>
      </c>
      <c r="D55" s="24" t="s">
        <v>1368</v>
      </c>
    </row>
    <row r="56" spans="1:4">
      <c r="A56" s="34">
        <v>56620998</v>
      </c>
      <c r="B56" s="50" t="s">
        <v>104</v>
      </c>
      <c r="C56" s="50" t="s">
        <v>1011</v>
      </c>
      <c r="D56" s="24" t="s">
        <v>1368</v>
      </c>
    </row>
    <row r="57" spans="1:4">
      <c r="A57" s="34">
        <v>56621099</v>
      </c>
      <c r="B57" s="50" t="s">
        <v>425</v>
      </c>
      <c r="C57" s="50" t="s">
        <v>1022</v>
      </c>
      <c r="D57" s="24" t="s">
        <v>1428</v>
      </c>
    </row>
    <row r="58" spans="1:4">
      <c r="A58" s="34">
        <v>56621114</v>
      </c>
      <c r="B58" s="50" t="s">
        <v>1045</v>
      </c>
      <c r="C58" s="50" t="s">
        <v>1046</v>
      </c>
      <c r="D58" s="24" t="s">
        <v>1388</v>
      </c>
    </row>
    <row r="59" spans="1:4">
      <c r="A59" s="34">
        <v>56621115</v>
      </c>
      <c r="B59" s="50" t="s">
        <v>1047</v>
      </c>
      <c r="C59" s="50" t="s">
        <v>1048</v>
      </c>
      <c r="D59" s="24" t="s">
        <v>902</v>
      </c>
    </row>
    <row r="60" spans="1:4">
      <c r="A60" s="34">
        <v>56621116</v>
      </c>
      <c r="B60" s="50" t="s">
        <v>1049</v>
      </c>
      <c r="C60" s="50" t="s">
        <v>1050</v>
      </c>
      <c r="D60" s="24" t="s">
        <v>1420</v>
      </c>
    </row>
    <row r="61" spans="1:4">
      <c r="A61" s="34">
        <v>56621121</v>
      </c>
      <c r="B61" s="50" t="s">
        <v>1051</v>
      </c>
      <c r="C61" s="50" t="s">
        <v>1052</v>
      </c>
      <c r="D61" s="24" t="s">
        <v>962</v>
      </c>
    </row>
    <row r="62" spans="1:4">
      <c r="A62" s="34">
        <v>56621122</v>
      </c>
      <c r="B62" s="50" t="s">
        <v>1053</v>
      </c>
      <c r="C62" s="50" t="s">
        <v>1054</v>
      </c>
      <c r="D62" s="24" t="s">
        <v>950</v>
      </c>
    </row>
    <row r="63" spans="1:4">
      <c r="A63" s="34">
        <v>56621148</v>
      </c>
      <c r="B63" s="50" t="s">
        <v>1055</v>
      </c>
      <c r="C63" s="50" t="s">
        <v>1056</v>
      </c>
      <c r="D63" s="24" t="s">
        <v>1380</v>
      </c>
    </row>
    <row r="64" spans="1:4">
      <c r="A64" s="34">
        <v>56621223</v>
      </c>
      <c r="B64" s="50" t="s">
        <v>1057</v>
      </c>
      <c r="C64" s="50" t="s">
        <v>1044</v>
      </c>
      <c r="D64" s="24" t="s">
        <v>1434</v>
      </c>
    </row>
    <row r="65" spans="1:4">
      <c r="A65" s="34">
        <v>56621345</v>
      </c>
      <c r="B65" s="50" t="s">
        <v>1058</v>
      </c>
      <c r="C65" s="50" t="s">
        <v>1059</v>
      </c>
      <c r="D65" s="24" t="s">
        <v>1491</v>
      </c>
    </row>
    <row r="66" spans="1:4">
      <c r="A66" s="34">
        <v>56621426</v>
      </c>
      <c r="B66" s="50" t="s">
        <v>1060</v>
      </c>
      <c r="C66" s="50" t="s">
        <v>1018</v>
      </c>
      <c r="D66" s="24" t="s">
        <v>1427</v>
      </c>
    </row>
    <row r="67" spans="1:4">
      <c r="A67" s="34">
        <v>56621504</v>
      </c>
      <c r="B67" s="50" t="s">
        <v>1061</v>
      </c>
      <c r="C67" s="50" t="s">
        <v>1062</v>
      </c>
      <c r="D67" s="24" t="s">
        <v>966</v>
      </c>
    </row>
    <row r="68" spans="1:4">
      <c r="A68" s="34">
        <v>56621581</v>
      </c>
      <c r="B68" s="50" t="s">
        <v>1063</v>
      </c>
      <c r="C68" s="50" t="s">
        <v>1041</v>
      </c>
      <c r="D68" s="24" t="s">
        <v>936</v>
      </c>
    </row>
    <row r="69" spans="1:4">
      <c r="A69" s="34">
        <v>56621636</v>
      </c>
      <c r="B69" s="50" t="s">
        <v>1064</v>
      </c>
      <c r="C69" s="50" t="s">
        <v>1065</v>
      </c>
      <c r="D69" s="24" t="s">
        <v>1377</v>
      </c>
    </row>
    <row r="70" spans="1:4">
      <c r="A70" s="34">
        <v>56621647</v>
      </c>
      <c r="B70" s="50" t="s">
        <v>1066</v>
      </c>
      <c r="C70" s="50" t="s">
        <v>1067</v>
      </c>
      <c r="D70" s="24" t="s">
        <v>1387</v>
      </c>
    </row>
    <row r="71" spans="1:4">
      <c r="A71" s="34">
        <v>57931346</v>
      </c>
      <c r="B71" s="50" t="s">
        <v>1068</v>
      </c>
      <c r="C71" s="50" t="s">
        <v>1069</v>
      </c>
      <c r="D71" s="24" t="s">
        <v>1366</v>
      </c>
    </row>
    <row r="72" spans="1:4">
      <c r="A72" s="34">
        <v>58002046</v>
      </c>
      <c r="B72" s="50" t="s">
        <v>105</v>
      </c>
      <c r="C72" s="50" t="s">
        <v>1054</v>
      </c>
      <c r="D72" s="24" t="s">
        <v>950</v>
      </c>
    </row>
    <row r="73" spans="1:4">
      <c r="A73" s="34">
        <v>58002047</v>
      </c>
      <c r="B73" s="50" t="s">
        <v>106</v>
      </c>
      <c r="C73" s="50" t="s">
        <v>1054</v>
      </c>
      <c r="D73" s="24" t="s">
        <v>950</v>
      </c>
    </row>
    <row r="74" spans="1:4">
      <c r="A74" s="34">
        <v>58002048</v>
      </c>
      <c r="B74" s="50" t="s">
        <v>107</v>
      </c>
      <c r="C74" s="50" t="s">
        <v>1054</v>
      </c>
      <c r="D74" s="24" t="s">
        <v>950</v>
      </c>
    </row>
    <row r="75" spans="1:4">
      <c r="A75" s="34">
        <v>58002050</v>
      </c>
      <c r="B75" s="50" t="s">
        <v>108</v>
      </c>
      <c r="C75" s="50" t="s">
        <v>1070</v>
      </c>
      <c r="D75" s="24" t="s">
        <v>1435</v>
      </c>
    </row>
    <row r="76" spans="1:4">
      <c r="A76" s="34">
        <v>58002051</v>
      </c>
      <c r="B76" s="50" t="s">
        <v>109</v>
      </c>
      <c r="C76" s="50" t="s">
        <v>1071</v>
      </c>
      <c r="D76" s="24" t="s">
        <v>1407</v>
      </c>
    </row>
    <row r="77" spans="1:4">
      <c r="A77" s="34">
        <v>58002053</v>
      </c>
      <c r="B77" s="50" t="s">
        <v>110</v>
      </c>
      <c r="C77" s="50" t="s">
        <v>1011</v>
      </c>
      <c r="D77" s="24" t="s">
        <v>1368</v>
      </c>
    </row>
    <row r="78" spans="1:4">
      <c r="A78" s="34">
        <v>58002054</v>
      </c>
      <c r="B78" s="50" t="s">
        <v>114</v>
      </c>
      <c r="C78" s="50" t="s">
        <v>1011</v>
      </c>
      <c r="D78" s="24" t="s">
        <v>1368</v>
      </c>
    </row>
    <row r="79" spans="1:4">
      <c r="A79" s="34">
        <v>58002055</v>
      </c>
      <c r="B79" s="50" t="s">
        <v>117</v>
      </c>
      <c r="C79" s="50" t="s">
        <v>1011</v>
      </c>
      <c r="D79" s="24" t="s">
        <v>1368</v>
      </c>
    </row>
    <row r="80" spans="1:4">
      <c r="A80" s="34">
        <v>58002056</v>
      </c>
      <c r="B80" s="50" t="s">
        <v>118</v>
      </c>
      <c r="C80" s="50" t="s">
        <v>1003</v>
      </c>
      <c r="D80" s="24" t="s">
        <v>1391</v>
      </c>
    </row>
    <row r="81" spans="1:4">
      <c r="A81" s="34">
        <v>58002057</v>
      </c>
      <c r="B81" s="50" t="s">
        <v>120</v>
      </c>
      <c r="C81" s="50" t="s">
        <v>1003</v>
      </c>
      <c r="D81" s="24" t="s">
        <v>1391</v>
      </c>
    </row>
    <row r="82" spans="1:4">
      <c r="A82" s="34">
        <v>58002058</v>
      </c>
      <c r="B82" s="50" t="s">
        <v>121</v>
      </c>
      <c r="C82" s="50" t="s">
        <v>1073</v>
      </c>
      <c r="D82" s="24" t="s">
        <v>1410</v>
      </c>
    </row>
    <row r="83" spans="1:4">
      <c r="A83" s="34">
        <v>58002059</v>
      </c>
      <c r="B83" s="50" t="s">
        <v>122</v>
      </c>
      <c r="C83" s="50" t="s">
        <v>1074</v>
      </c>
      <c r="D83" s="24" t="s">
        <v>1397</v>
      </c>
    </row>
    <row r="84" spans="1:4">
      <c r="A84" s="34">
        <v>58002060</v>
      </c>
      <c r="B84" s="50" t="s">
        <v>123</v>
      </c>
      <c r="C84" s="50" t="s">
        <v>1075</v>
      </c>
      <c r="D84" s="24" t="s">
        <v>1400</v>
      </c>
    </row>
    <row r="85" spans="1:4">
      <c r="A85" s="34">
        <v>58002061</v>
      </c>
      <c r="B85" s="50" t="s">
        <v>124</v>
      </c>
      <c r="C85" s="50" t="s">
        <v>1076</v>
      </c>
      <c r="D85" s="24" t="s">
        <v>1379</v>
      </c>
    </row>
    <row r="86" spans="1:4">
      <c r="A86" s="34">
        <v>58002062</v>
      </c>
      <c r="B86" s="50" t="s">
        <v>126</v>
      </c>
      <c r="C86" s="50" t="s">
        <v>1077</v>
      </c>
      <c r="D86" s="24" t="s">
        <v>1404</v>
      </c>
    </row>
    <row r="87" spans="1:4">
      <c r="A87" s="34">
        <v>58002063</v>
      </c>
      <c r="B87" s="50" t="s">
        <v>127</v>
      </c>
      <c r="C87" s="50" t="s">
        <v>1079</v>
      </c>
      <c r="D87" s="24" t="s">
        <v>1394</v>
      </c>
    </row>
    <row r="88" spans="1:4">
      <c r="A88" s="34">
        <v>58002064</v>
      </c>
      <c r="B88" s="50" t="s">
        <v>128</v>
      </c>
      <c r="C88" s="50" t="s">
        <v>1079</v>
      </c>
      <c r="D88" s="24" t="s">
        <v>1394</v>
      </c>
    </row>
    <row r="89" spans="1:4">
      <c r="A89" s="34">
        <v>58002065</v>
      </c>
      <c r="B89" s="50" t="s">
        <v>129</v>
      </c>
      <c r="C89" s="50" t="s">
        <v>1080</v>
      </c>
      <c r="D89" s="24" t="s">
        <v>1382</v>
      </c>
    </row>
    <row r="90" spans="1:4">
      <c r="A90" s="34">
        <v>58002066</v>
      </c>
      <c r="B90" s="50" t="s">
        <v>130</v>
      </c>
      <c r="C90" s="50" t="s">
        <v>1081</v>
      </c>
      <c r="D90" s="24" t="s">
        <v>1382</v>
      </c>
    </row>
    <row r="91" spans="1:4">
      <c r="A91" s="34">
        <v>58002067</v>
      </c>
      <c r="B91" s="50" t="s">
        <v>132</v>
      </c>
      <c r="C91" s="50" t="s">
        <v>1083</v>
      </c>
      <c r="D91" s="24" t="s">
        <v>1436</v>
      </c>
    </row>
    <row r="92" spans="1:4">
      <c r="A92" s="34">
        <v>58002068</v>
      </c>
      <c r="B92" s="50" t="s">
        <v>133</v>
      </c>
      <c r="C92" s="50" t="s">
        <v>1026</v>
      </c>
      <c r="D92" s="24" t="s">
        <v>1395</v>
      </c>
    </row>
    <row r="93" spans="1:4">
      <c r="A93" s="34">
        <v>58002069</v>
      </c>
      <c r="B93" s="50" t="s">
        <v>135</v>
      </c>
      <c r="C93" s="50" t="s">
        <v>1085</v>
      </c>
      <c r="D93" s="24" t="s">
        <v>1384</v>
      </c>
    </row>
    <row r="94" spans="1:4">
      <c r="A94" s="34">
        <v>58002070</v>
      </c>
      <c r="B94" s="50" t="s">
        <v>136</v>
      </c>
      <c r="C94" s="50" t="s">
        <v>1085</v>
      </c>
      <c r="D94" s="24" t="s">
        <v>1384</v>
      </c>
    </row>
    <row r="95" spans="1:4">
      <c r="A95" s="34">
        <v>58002071</v>
      </c>
      <c r="B95" s="50" t="s">
        <v>138</v>
      </c>
      <c r="C95" s="50" t="s">
        <v>1085</v>
      </c>
      <c r="D95" s="24" t="s">
        <v>1384</v>
      </c>
    </row>
    <row r="96" spans="1:4">
      <c r="A96" s="34">
        <v>58002072</v>
      </c>
      <c r="B96" s="50" t="s">
        <v>139</v>
      </c>
      <c r="C96" s="50" t="s">
        <v>1086</v>
      </c>
      <c r="D96" s="24" t="s">
        <v>1372</v>
      </c>
    </row>
    <row r="97" spans="1:4">
      <c r="A97" s="34">
        <v>58002073</v>
      </c>
      <c r="B97" s="50" t="s">
        <v>90</v>
      </c>
      <c r="C97" s="50" t="s">
        <v>1056</v>
      </c>
      <c r="D97" s="24" t="s">
        <v>1380</v>
      </c>
    </row>
    <row r="98" spans="1:4">
      <c r="A98" s="34">
        <v>58002074</v>
      </c>
      <c r="B98" s="50" t="s">
        <v>141</v>
      </c>
      <c r="C98" s="50" t="s">
        <v>1087</v>
      </c>
      <c r="D98" s="24" t="s">
        <v>1380</v>
      </c>
    </row>
    <row r="99" spans="1:4">
      <c r="A99" s="34">
        <v>58002076</v>
      </c>
      <c r="B99" s="50" t="s">
        <v>142</v>
      </c>
      <c r="C99" s="50" t="s">
        <v>1088</v>
      </c>
      <c r="D99" s="24" t="s">
        <v>921</v>
      </c>
    </row>
    <row r="100" spans="1:4">
      <c r="A100" s="34">
        <v>58002077</v>
      </c>
      <c r="B100" s="50" t="s">
        <v>143</v>
      </c>
      <c r="C100" s="50" t="s">
        <v>1089</v>
      </c>
      <c r="D100" s="24" t="s">
        <v>1398</v>
      </c>
    </row>
    <row r="101" spans="1:4">
      <c r="A101" s="34">
        <v>58002078</v>
      </c>
      <c r="B101" s="50" t="s">
        <v>144</v>
      </c>
      <c r="C101" s="50" t="s">
        <v>1016</v>
      </c>
      <c r="D101" s="24" t="s">
        <v>1385</v>
      </c>
    </row>
    <row r="102" spans="1:4">
      <c r="A102" s="34">
        <v>58002081</v>
      </c>
      <c r="B102" s="50" t="s">
        <v>145</v>
      </c>
      <c r="C102" s="50" t="s">
        <v>1091</v>
      </c>
      <c r="D102" s="24" t="s">
        <v>1371</v>
      </c>
    </row>
    <row r="103" spans="1:4">
      <c r="A103" s="34">
        <v>58002082</v>
      </c>
      <c r="B103" s="50" t="s">
        <v>146</v>
      </c>
      <c r="C103" s="50" t="s">
        <v>1092</v>
      </c>
      <c r="D103" s="24" t="s">
        <v>1371</v>
      </c>
    </row>
    <row r="104" spans="1:4">
      <c r="A104" s="34">
        <v>58002083</v>
      </c>
      <c r="B104" s="50" t="s">
        <v>147</v>
      </c>
      <c r="C104" s="50" t="s">
        <v>1092</v>
      </c>
      <c r="D104" s="24" t="s">
        <v>1371</v>
      </c>
    </row>
    <row r="105" spans="1:4">
      <c r="A105" s="34">
        <v>58002084</v>
      </c>
      <c r="B105" s="50" t="s">
        <v>149</v>
      </c>
      <c r="C105" s="50" t="s">
        <v>1094</v>
      </c>
      <c r="D105" s="24" t="s">
        <v>1371</v>
      </c>
    </row>
    <row r="106" spans="1:4">
      <c r="A106" s="34">
        <v>58002085</v>
      </c>
      <c r="B106" s="50" t="s">
        <v>150</v>
      </c>
      <c r="C106" s="50" t="s">
        <v>1094</v>
      </c>
      <c r="D106" s="24" t="s">
        <v>1371</v>
      </c>
    </row>
    <row r="107" spans="1:4">
      <c r="A107" s="34">
        <v>58002086</v>
      </c>
      <c r="B107" s="50" t="s">
        <v>148</v>
      </c>
      <c r="C107" s="50" t="s">
        <v>1093</v>
      </c>
      <c r="D107" s="24" t="s">
        <v>1371</v>
      </c>
    </row>
    <row r="108" spans="1:4">
      <c r="A108" s="34">
        <v>58002087</v>
      </c>
      <c r="B108" s="50" t="s">
        <v>151</v>
      </c>
      <c r="C108" s="50" t="s">
        <v>1095</v>
      </c>
      <c r="D108" s="24" t="s">
        <v>1401</v>
      </c>
    </row>
    <row r="109" spans="1:4">
      <c r="A109" s="34">
        <v>58002088</v>
      </c>
      <c r="B109" s="50" t="s">
        <v>152</v>
      </c>
      <c r="C109" s="50" t="s">
        <v>1095</v>
      </c>
      <c r="D109" s="24" t="s">
        <v>1401</v>
      </c>
    </row>
    <row r="110" spans="1:4">
      <c r="A110" s="34">
        <v>58002089</v>
      </c>
      <c r="B110" s="50" t="s">
        <v>153</v>
      </c>
      <c r="C110" s="50" t="s">
        <v>1096</v>
      </c>
      <c r="D110" s="24" t="s">
        <v>1411</v>
      </c>
    </row>
    <row r="111" spans="1:4">
      <c r="A111" s="34">
        <v>58002090</v>
      </c>
      <c r="B111" s="50" t="s">
        <v>154</v>
      </c>
      <c r="C111" s="50" t="s">
        <v>1096</v>
      </c>
      <c r="D111" s="24" t="s">
        <v>1411</v>
      </c>
    </row>
    <row r="112" spans="1:4">
      <c r="A112" s="34">
        <v>58002091</v>
      </c>
      <c r="B112" s="50" t="s">
        <v>155</v>
      </c>
      <c r="C112" s="50" t="s">
        <v>1096</v>
      </c>
      <c r="D112" s="24" t="s">
        <v>1411</v>
      </c>
    </row>
    <row r="113" spans="1:4">
      <c r="A113" s="34">
        <v>58002092</v>
      </c>
      <c r="B113" s="50" t="s">
        <v>156</v>
      </c>
      <c r="C113" s="50" t="s">
        <v>1096</v>
      </c>
      <c r="D113" s="24" t="s">
        <v>1411</v>
      </c>
    </row>
    <row r="114" spans="1:4">
      <c r="A114" s="34">
        <v>58002093</v>
      </c>
      <c r="B114" s="50" t="s">
        <v>157</v>
      </c>
      <c r="C114" s="50" t="s">
        <v>1098</v>
      </c>
      <c r="D114" s="24" t="s">
        <v>1413</v>
      </c>
    </row>
    <row r="115" spans="1:4">
      <c r="A115" s="34">
        <v>58002094</v>
      </c>
      <c r="B115" s="50" t="s">
        <v>158</v>
      </c>
      <c r="C115" s="50" t="s">
        <v>1099</v>
      </c>
      <c r="D115" s="24" t="s">
        <v>1412</v>
      </c>
    </row>
    <row r="116" spans="1:4">
      <c r="A116" s="34">
        <v>58002095</v>
      </c>
      <c r="B116" s="50" t="s">
        <v>159</v>
      </c>
      <c r="C116" s="50" t="s">
        <v>1020</v>
      </c>
      <c r="D116" s="24" t="s">
        <v>1367</v>
      </c>
    </row>
    <row r="117" spans="1:4">
      <c r="A117" s="34">
        <v>58002096</v>
      </c>
      <c r="B117" s="50" t="s">
        <v>160</v>
      </c>
      <c r="C117" s="50" t="s">
        <v>1100</v>
      </c>
      <c r="D117" s="24" t="s">
        <v>1367</v>
      </c>
    </row>
    <row r="118" spans="1:4">
      <c r="A118" s="34">
        <v>58002097</v>
      </c>
      <c r="B118" s="50" t="s">
        <v>162</v>
      </c>
      <c r="C118" s="50" t="s">
        <v>1020</v>
      </c>
      <c r="D118" s="24" t="s">
        <v>1367</v>
      </c>
    </row>
    <row r="119" spans="1:4">
      <c r="A119" s="34">
        <v>58002098</v>
      </c>
      <c r="B119" s="50" t="s">
        <v>163</v>
      </c>
      <c r="C119" s="50" t="s">
        <v>1020</v>
      </c>
      <c r="D119" s="24" t="s">
        <v>1367</v>
      </c>
    </row>
    <row r="120" spans="1:4">
      <c r="A120" s="34">
        <v>58002099</v>
      </c>
      <c r="B120" s="50" t="s">
        <v>164</v>
      </c>
      <c r="C120" s="50" t="s">
        <v>1020</v>
      </c>
      <c r="D120" s="24" t="s">
        <v>1367</v>
      </c>
    </row>
    <row r="121" spans="1:4">
      <c r="A121" s="34">
        <v>58002100</v>
      </c>
      <c r="B121" s="50" t="s">
        <v>165</v>
      </c>
      <c r="C121" s="50" t="s">
        <v>1020</v>
      </c>
      <c r="D121" s="24" t="s">
        <v>1367</v>
      </c>
    </row>
    <row r="122" spans="1:4">
      <c r="A122" s="34">
        <v>58002101</v>
      </c>
      <c r="B122" s="50" t="s">
        <v>166</v>
      </c>
      <c r="C122" s="50" t="s">
        <v>1101</v>
      </c>
      <c r="D122" s="24" t="s">
        <v>1390</v>
      </c>
    </row>
    <row r="123" spans="1:4">
      <c r="A123" s="34">
        <v>58002102</v>
      </c>
      <c r="B123" s="50" t="s">
        <v>167</v>
      </c>
      <c r="C123" s="50" t="s">
        <v>1102</v>
      </c>
      <c r="D123" s="24" t="s">
        <v>1390</v>
      </c>
    </row>
    <row r="124" spans="1:4">
      <c r="A124" s="34">
        <v>58002103</v>
      </c>
      <c r="B124" s="50" t="s">
        <v>169</v>
      </c>
      <c r="C124" s="50" t="s">
        <v>1102</v>
      </c>
      <c r="D124" s="24" t="s">
        <v>1390</v>
      </c>
    </row>
    <row r="125" spans="1:4">
      <c r="A125" s="34">
        <v>58002104</v>
      </c>
      <c r="B125" s="50" t="s">
        <v>171</v>
      </c>
      <c r="C125" s="50" t="s">
        <v>1102</v>
      </c>
      <c r="D125" s="24" t="s">
        <v>1390</v>
      </c>
    </row>
    <row r="126" spans="1:4">
      <c r="A126" s="34">
        <v>58002105</v>
      </c>
      <c r="B126" s="50" t="s">
        <v>172</v>
      </c>
      <c r="C126" s="50" t="s">
        <v>1104</v>
      </c>
      <c r="D126" s="24" t="s">
        <v>1437</v>
      </c>
    </row>
    <row r="127" spans="1:4">
      <c r="A127" s="34">
        <v>58002106</v>
      </c>
      <c r="B127" s="50" t="s">
        <v>173</v>
      </c>
      <c r="C127" s="50" t="s">
        <v>1105</v>
      </c>
      <c r="D127" s="24" t="s">
        <v>907</v>
      </c>
    </row>
    <row r="128" spans="1:4">
      <c r="A128" s="34">
        <v>58002107</v>
      </c>
      <c r="B128" s="50" t="s">
        <v>174</v>
      </c>
      <c r="C128" s="50" t="s">
        <v>1105</v>
      </c>
      <c r="D128" s="24" t="s">
        <v>907</v>
      </c>
    </row>
    <row r="129" spans="1:4">
      <c r="A129" s="34">
        <v>58002108</v>
      </c>
      <c r="B129" s="50" t="s">
        <v>175</v>
      </c>
      <c r="C129" s="50" t="s">
        <v>1105</v>
      </c>
      <c r="D129" s="24" t="s">
        <v>907</v>
      </c>
    </row>
    <row r="130" spans="1:4">
      <c r="A130" s="34">
        <v>58002110</v>
      </c>
      <c r="B130" s="50" t="s">
        <v>176</v>
      </c>
      <c r="C130" s="50" t="s">
        <v>1106</v>
      </c>
      <c r="D130" s="24" t="s">
        <v>912</v>
      </c>
    </row>
    <row r="131" spans="1:4">
      <c r="A131" s="34">
        <v>58002111</v>
      </c>
      <c r="B131" s="50" t="s">
        <v>177</v>
      </c>
      <c r="C131" s="50" t="s">
        <v>1108</v>
      </c>
      <c r="D131" s="24" t="s">
        <v>912</v>
      </c>
    </row>
    <row r="132" spans="1:4">
      <c r="A132" s="34">
        <v>58002112</v>
      </c>
      <c r="B132" s="50" t="s">
        <v>178</v>
      </c>
      <c r="C132" s="50" t="s">
        <v>1109</v>
      </c>
      <c r="D132" s="24" t="s">
        <v>912</v>
      </c>
    </row>
    <row r="133" spans="1:4">
      <c r="A133" s="34">
        <v>58002113</v>
      </c>
      <c r="B133" s="50" t="s">
        <v>181</v>
      </c>
      <c r="C133" s="50" t="s">
        <v>1112</v>
      </c>
      <c r="D133" s="24" t="s">
        <v>912</v>
      </c>
    </row>
    <row r="134" spans="1:4">
      <c r="A134" s="34">
        <v>58002114</v>
      </c>
      <c r="B134" s="50" t="s">
        <v>183</v>
      </c>
      <c r="C134" s="50" t="s">
        <v>1113</v>
      </c>
      <c r="D134" s="24" t="s">
        <v>912</v>
      </c>
    </row>
    <row r="135" spans="1:4">
      <c r="A135" s="34">
        <v>58002115</v>
      </c>
      <c r="B135" s="50" t="s">
        <v>185</v>
      </c>
      <c r="C135" s="50" t="s">
        <v>1114</v>
      </c>
      <c r="D135" s="24" t="s">
        <v>912</v>
      </c>
    </row>
    <row r="136" spans="1:4">
      <c r="A136" s="34">
        <v>58002116</v>
      </c>
      <c r="B136" s="50" t="s">
        <v>186</v>
      </c>
      <c r="C136" s="50" t="s">
        <v>1110</v>
      </c>
      <c r="D136" s="24" t="s">
        <v>912</v>
      </c>
    </row>
    <row r="137" spans="1:4">
      <c r="A137" s="34">
        <v>58002117</v>
      </c>
      <c r="B137" s="50" t="s">
        <v>189</v>
      </c>
      <c r="C137" s="50" t="s">
        <v>1115</v>
      </c>
      <c r="D137" s="24" t="s">
        <v>912</v>
      </c>
    </row>
    <row r="138" spans="1:4">
      <c r="A138" s="34">
        <v>58002118</v>
      </c>
      <c r="B138" s="50" t="s">
        <v>190</v>
      </c>
      <c r="C138" s="50" t="s">
        <v>1118</v>
      </c>
      <c r="D138" s="24" t="s">
        <v>912</v>
      </c>
    </row>
    <row r="139" spans="1:4">
      <c r="A139" s="34">
        <v>58002119</v>
      </c>
      <c r="B139" s="50" t="s">
        <v>191</v>
      </c>
      <c r="C139" s="50" t="s">
        <v>1014</v>
      </c>
      <c r="D139" s="24" t="s">
        <v>1406</v>
      </c>
    </row>
    <row r="140" spans="1:4">
      <c r="A140" s="34">
        <v>58002120</v>
      </c>
      <c r="B140" s="50" t="s">
        <v>192</v>
      </c>
      <c r="C140" s="50" t="s">
        <v>1014</v>
      </c>
      <c r="D140" s="24" t="s">
        <v>1406</v>
      </c>
    </row>
    <row r="141" spans="1:4">
      <c r="A141" s="34">
        <v>58002121</v>
      </c>
      <c r="B141" s="50" t="s">
        <v>193</v>
      </c>
      <c r="C141" s="50" t="s">
        <v>1014</v>
      </c>
      <c r="D141" s="24" t="s">
        <v>1406</v>
      </c>
    </row>
    <row r="142" spans="1:4">
      <c r="A142" s="34">
        <v>58002122</v>
      </c>
      <c r="B142" s="50" t="s">
        <v>194</v>
      </c>
      <c r="C142" s="50" t="s">
        <v>1119</v>
      </c>
      <c r="D142" s="24" t="s">
        <v>915</v>
      </c>
    </row>
    <row r="143" spans="1:4">
      <c r="A143" s="34">
        <v>58002123</v>
      </c>
      <c r="B143" s="50" t="s">
        <v>197</v>
      </c>
      <c r="C143" s="50" t="s">
        <v>1122</v>
      </c>
      <c r="D143" s="24" t="s">
        <v>915</v>
      </c>
    </row>
    <row r="144" spans="1:4">
      <c r="A144" s="34">
        <v>58002124</v>
      </c>
      <c r="B144" s="50" t="s">
        <v>199</v>
      </c>
      <c r="C144" s="50" t="s">
        <v>917</v>
      </c>
      <c r="D144" s="24" t="s">
        <v>917</v>
      </c>
    </row>
    <row r="145" spans="1:4">
      <c r="A145" s="34">
        <v>58002125</v>
      </c>
      <c r="B145" s="50" t="s">
        <v>200</v>
      </c>
      <c r="C145" s="50" t="s">
        <v>1124</v>
      </c>
      <c r="D145" s="24" t="s">
        <v>1402</v>
      </c>
    </row>
    <row r="146" spans="1:4">
      <c r="A146" s="34">
        <v>58002126</v>
      </c>
      <c r="B146" s="50" t="s">
        <v>201</v>
      </c>
      <c r="C146" s="50" t="s">
        <v>1125</v>
      </c>
      <c r="D146" s="24" t="s">
        <v>1402</v>
      </c>
    </row>
    <row r="147" spans="1:4">
      <c r="A147" s="34">
        <v>58002127</v>
      </c>
      <c r="B147" s="50" t="s">
        <v>202</v>
      </c>
      <c r="C147" s="50" t="s">
        <v>1126</v>
      </c>
      <c r="D147" s="24" t="s">
        <v>1402</v>
      </c>
    </row>
    <row r="148" spans="1:4">
      <c r="A148" s="34">
        <v>58002128</v>
      </c>
      <c r="B148" s="50" t="s">
        <v>204</v>
      </c>
      <c r="C148" s="50" t="s">
        <v>1127</v>
      </c>
      <c r="D148" s="24" t="s">
        <v>919</v>
      </c>
    </row>
    <row r="149" spans="1:4">
      <c r="A149" s="34">
        <v>58002129</v>
      </c>
      <c r="B149" s="50" t="s">
        <v>209</v>
      </c>
      <c r="C149" s="50" t="s">
        <v>1088</v>
      </c>
      <c r="D149" s="24" t="s">
        <v>921</v>
      </c>
    </row>
    <row r="150" spans="1:4">
      <c r="A150" s="34">
        <v>58002130</v>
      </c>
      <c r="B150" s="50" t="s">
        <v>211</v>
      </c>
      <c r="C150" s="50" t="s">
        <v>1133</v>
      </c>
      <c r="D150" s="24" t="s">
        <v>921</v>
      </c>
    </row>
    <row r="151" spans="1:4">
      <c r="A151" s="34">
        <v>58002131</v>
      </c>
      <c r="B151" s="50" t="s">
        <v>213</v>
      </c>
      <c r="C151" s="50" t="s">
        <v>1135</v>
      </c>
      <c r="D151" s="24" t="s">
        <v>921</v>
      </c>
    </row>
    <row r="152" spans="1:4">
      <c r="A152" s="34">
        <v>58002132</v>
      </c>
      <c r="B152" s="50" t="s">
        <v>216</v>
      </c>
      <c r="C152" s="50" t="s">
        <v>1088</v>
      </c>
      <c r="D152" s="24" t="s">
        <v>921</v>
      </c>
    </row>
    <row r="153" spans="1:4">
      <c r="A153" s="34">
        <v>58002134</v>
      </c>
      <c r="B153" s="50" t="s">
        <v>218</v>
      </c>
      <c r="C153" s="50" t="s">
        <v>1136</v>
      </c>
      <c r="D153" s="24" t="s">
        <v>926</v>
      </c>
    </row>
    <row r="154" spans="1:4">
      <c r="A154" s="34">
        <v>58002135</v>
      </c>
      <c r="B154" s="50" t="s">
        <v>221</v>
      </c>
      <c r="C154" s="50" t="s">
        <v>1139</v>
      </c>
      <c r="D154" s="24" t="s">
        <v>927</v>
      </c>
    </row>
    <row r="155" spans="1:4">
      <c r="A155" s="34">
        <v>58002136</v>
      </c>
      <c r="B155" s="50" t="s">
        <v>222</v>
      </c>
      <c r="C155" s="50" t="s">
        <v>1140</v>
      </c>
      <c r="D155" s="24" t="s">
        <v>929</v>
      </c>
    </row>
    <row r="156" spans="1:4">
      <c r="A156" s="34">
        <v>58002137</v>
      </c>
      <c r="B156" s="50" t="s">
        <v>224</v>
      </c>
      <c r="C156" s="50" t="s">
        <v>1142</v>
      </c>
      <c r="D156" s="24" t="s">
        <v>929</v>
      </c>
    </row>
    <row r="157" spans="1:4">
      <c r="A157" s="34">
        <v>58002138</v>
      </c>
      <c r="B157" s="50" t="s">
        <v>225</v>
      </c>
      <c r="C157" s="50" t="s">
        <v>1143</v>
      </c>
      <c r="D157" s="24" t="s">
        <v>929</v>
      </c>
    </row>
    <row r="158" spans="1:4">
      <c r="A158" s="34">
        <v>58002139</v>
      </c>
      <c r="B158" s="50" t="s">
        <v>226</v>
      </c>
      <c r="C158" s="50" t="s">
        <v>1144</v>
      </c>
      <c r="D158" s="24" t="s">
        <v>929</v>
      </c>
    </row>
    <row r="159" spans="1:4">
      <c r="A159" s="34">
        <v>58002140</v>
      </c>
      <c r="B159" s="50" t="s">
        <v>227</v>
      </c>
      <c r="C159" s="50" t="s">
        <v>1145</v>
      </c>
      <c r="D159" s="24" t="s">
        <v>1389</v>
      </c>
    </row>
    <row r="160" spans="1:4">
      <c r="A160" s="34">
        <v>58002141</v>
      </c>
      <c r="B160" s="50" t="s">
        <v>228</v>
      </c>
      <c r="C160" s="50" t="s">
        <v>1145</v>
      </c>
      <c r="D160" s="24" t="s">
        <v>1389</v>
      </c>
    </row>
    <row r="161" spans="1:4">
      <c r="A161" s="34">
        <v>58002142</v>
      </c>
      <c r="B161" s="50" t="s">
        <v>229</v>
      </c>
      <c r="C161" s="50" t="s">
        <v>1145</v>
      </c>
      <c r="D161" s="24" t="s">
        <v>1389</v>
      </c>
    </row>
    <row r="162" spans="1:4">
      <c r="A162" s="34">
        <v>58002143</v>
      </c>
      <c r="B162" s="50" t="s">
        <v>230</v>
      </c>
      <c r="C162" s="50" t="s">
        <v>1146</v>
      </c>
      <c r="D162" s="24" t="s">
        <v>933</v>
      </c>
    </row>
    <row r="163" spans="1:4">
      <c r="A163" s="34">
        <v>58002144</v>
      </c>
      <c r="B163" s="50" t="s">
        <v>231</v>
      </c>
      <c r="C163" s="50" t="s">
        <v>1147</v>
      </c>
      <c r="D163" s="24" t="s">
        <v>933</v>
      </c>
    </row>
    <row r="164" spans="1:4">
      <c r="A164" s="34">
        <v>58002145</v>
      </c>
      <c r="B164" s="50" t="s">
        <v>233</v>
      </c>
      <c r="C164" s="50" t="s">
        <v>1146</v>
      </c>
      <c r="D164" s="24" t="s">
        <v>933</v>
      </c>
    </row>
    <row r="165" spans="1:4">
      <c r="A165" s="34">
        <v>58002146</v>
      </c>
      <c r="B165" s="50" t="s">
        <v>235</v>
      </c>
      <c r="C165" s="50" t="s">
        <v>1041</v>
      </c>
      <c r="D165" s="24" t="s">
        <v>936</v>
      </c>
    </row>
    <row r="166" spans="1:4">
      <c r="A166" s="34">
        <v>58002147</v>
      </c>
      <c r="B166" s="50" t="s">
        <v>236</v>
      </c>
      <c r="C166" s="50" t="s">
        <v>1041</v>
      </c>
      <c r="D166" s="24" t="s">
        <v>936</v>
      </c>
    </row>
    <row r="167" spans="1:4">
      <c r="A167" s="34">
        <v>58002148</v>
      </c>
      <c r="B167" s="50" t="s">
        <v>237</v>
      </c>
      <c r="C167" s="50" t="s">
        <v>1041</v>
      </c>
      <c r="D167" s="24" t="s">
        <v>936</v>
      </c>
    </row>
    <row r="168" spans="1:4">
      <c r="A168" s="34">
        <v>58002149</v>
      </c>
      <c r="B168" s="50" t="s">
        <v>238</v>
      </c>
      <c r="C168" s="50" t="s">
        <v>1149</v>
      </c>
      <c r="D168" s="24" t="s">
        <v>950</v>
      </c>
    </row>
    <row r="169" spans="1:4">
      <c r="A169" s="34">
        <v>58002150</v>
      </c>
      <c r="B169" s="50" t="s">
        <v>239</v>
      </c>
      <c r="C169" s="50" t="s">
        <v>1041</v>
      </c>
      <c r="D169" s="24" t="s">
        <v>936</v>
      </c>
    </row>
    <row r="170" spans="1:4">
      <c r="A170" s="34">
        <v>58002151</v>
      </c>
      <c r="B170" s="50" t="s">
        <v>240</v>
      </c>
      <c r="C170" s="50" t="s">
        <v>1041</v>
      </c>
      <c r="D170" s="24" t="s">
        <v>936</v>
      </c>
    </row>
    <row r="171" spans="1:4">
      <c r="A171" s="34">
        <v>58002152</v>
      </c>
      <c r="B171" s="50" t="s">
        <v>243</v>
      </c>
      <c r="C171" s="50" t="s">
        <v>1150</v>
      </c>
      <c r="D171" s="24" t="s">
        <v>1369</v>
      </c>
    </row>
    <row r="172" spans="1:4">
      <c r="A172" s="34">
        <v>58002153</v>
      </c>
      <c r="B172" s="50" t="s">
        <v>244</v>
      </c>
      <c r="C172" s="50" t="s">
        <v>1150</v>
      </c>
      <c r="D172" s="24" t="s">
        <v>1369</v>
      </c>
    </row>
    <row r="173" spans="1:4">
      <c r="A173" s="34">
        <v>58002154</v>
      </c>
      <c r="B173" s="50" t="s">
        <v>245</v>
      </c>
      <c r="C173" s="50" t="s">
        <v>1150</v>
      </c>
      <c r="D173" s="24" t="s">
        <v>1369</v>
      </c>
    </row>
    <row r="174" spans="1:4">
      <c r="A174" s="34">
        <v>58002155</v>
      </c>
      <c r="B174" s="50" t="s">
        <v>246</v>
      </c>
      <c r="C174" s="50" t="s">
        <v>1010</v>
      </c>
      <c r="D174" s="24" t="s">
        <v>1396</v>
      </c>
    </row>
    <row r="175" spans="1:4">
      <c r="A175" s="34">
        <v>58002156</v>
      </c>
      <c r="B175" s="50" t="s">
        <v>247</v>
      </c>
      <c r="C175" s="50" t="s">
        <v>1010</v>
      </c>
      <c r="D175" s="24" t="s">
        <v>1396</v>
      </c>
    </row>
    <row r="176" spans="1:4">
      <c r="A176" s="34">
        <v>58002157</v>
      </c>
      <c r="B176" s="50" t="s">
        <v>249</v>
      </c>
      <c r="C176" s="50" t="s">
        <v>1010</v>
      </c>
      <c r="D176" s="24" t="s">
        <v>1396</v>
      </c>
    </row>
    <row r="177" spans="1:4">
      <c r="A177" s="34">
        <v>58002158</v>
      </c>
      <c r="B177" s="50" t="s">
        <v>250</v>
      </c>
      <c r="C177" s="50" t="s">
        <v>1151</v>
      </c>
      <c r="D177" s="24" t="s">
        <v>897</v>
      </c>
    </row>
    <row r="178" spans="1:4">
      <c r="A178" s="34">
        <v>58002159</v>
      </c>
      <c r="B178" s="50" t="s">
        <v>251</v>
      </c>
      <c r="C178" s="50" t="s">
        <v>1153</v>
      </c>
      <c r="D178" s="24" t="s">
        <v>942</v>
      </c>
    </row>
    <row r="179" spans="1:4">
      <c r="A179" s="34">
        <v>58002160</v>
      </c>
      <c r="B179" s="50" t="s">
        <v>252</v>
      </c>
      <c r="C179" s="50" t="s">
        <v>1154</v>
      </c>
      <c r="D179" s="24" t="s">
        <v>942</v>
      </c>
    </row>
    <row r="180" spans="1:4">
      <c r="A180" s="34">
        <v>58002161</v>
      </c>
      <c r="B180" s="50" t="s">
        <v>253</v>
      </c>
      <c r="C180" s="50" t="s">
        <v>1155</v>
      </c>
      <c r="D180" s="24" t="s">
        <v>945</v>
      </c>
    </row>
    <row r="181" spans="1:4">
      <c r="A181" s="34">
        <v>58002162</v>
      </c>
      <c r="B181" s="50" t="s">
        <v>254</v>
      </c>
      <c r="C181" s="50" t="s">
        <v>1156</v>
      </c>
      <c r="D181" s="24" t="s">
        <v>945</v>
      </c>
    </row>
    <row r="182" spans="1:4">
      <c r="A182" s="34">
        <v>58002163</v>
      </c>
      <c r="B182" s="50" t="s">
        <v>255</v>
      </c>
      <c r="C182" s="50" t="s">
        <v>1155</v>
      </c>
      <c r="D182" s="24" t="s">
        <v>945</v>
      </c>
    </row>
    <row r="183" spans="1:4">
      <c r="A183" s="34">
        <v>58002164</v>
      </c>
      <c r="B183" s="50" t="s">
        <v>257</v>
      </c>
      <c r="C183" s="50" t="s">
        <v>1155</v>
      </c>
      <c r="D183" s="24" t="s">
        <v>945</v>
      </c>
    </row>
    <row r="184" spans="1:4">
      <c r="A184" s="34">
        <v>58002165</v>
      </c>
      <c r="B184" s="50" t="s">
        <v>258</v>
      </c>
      <c r="C184" s="50" t="s">
        <v>1155</v>
      </c>
      <c r="D184" s="24" t="s">
        <v>945</v>
      </c>
    </row>
    <row r="185" spans="1:4">
      <c r="A185" s="34">
        <v>58002166</v>
      </c>
      <c r="B185" s="50" t="s">
        <v>260</v>
      </c>
      <c r="C185" s="50" t="s">
        <v>1157</v>
      </c>
      <c r="D185" s="24" t="s">
        <v>947</v>
      </c>
    </row>
    <row r="186" spans="1:4">
      <c r="A186" s="34">
        <v>58002168</v>
      </c>
      <c r="B186" s="50" t="s">
        <v>261</v>
      </c>
      <c r="C186" s="50" t="s">
        <v>1158</v>
      </c>
      <c r="D186" s="24" t="s">
        <v>1409</v>
      </c>
    </row>
    <row r="187" spans="1:4">
      <c r="A187" s="34">
        <v>58002169</v>
      </c>
      <c r="B187" s="50" t="s">
        <v>263</v>
      </c>
      <c r="C187" s="50" t="s">
        <v>1158</v>
      </c>
      <c r="D187" s="24" t="s">
        <v>1409</v>
      </c>
    </row>
    <row r="188" spans="1:4">
      <c r="A188" s="34">
        <v>58002170</v>
      </c>
      <c r="B188" s="50" t="s">
        <v>264</v>
      </c>
      <c r="C188" s="50" t="s">
        <v>1160</v>
      </c>
      <c r="D188" s="24" t="s">
        <v>954</v>
      </c>
    </row>
    <row r="189" spans="1:4">
      <c r="A189" s="34">
        <v>58002171</v>
      </c>
      <c r="B189" s="50" t="s">
        <v>265</v>
      </c>
      <c r="C189" s="50" t="s">
        <v>1161</v>
      </c>
      <c r="D189" s="24" t="s">
        <v>956</v>
      </c>
    </row>
    <row r="190" spans="1:4">
      <c r="A190" s="34">
        <v>58002172</v>
      </c>
      <c r="B190" s="50" t="s">
        <v>267</v>
      </c>
      <c r="C190" s="50" t="s">
        <v>1163</v>
      </c>
      <c r="D190" s="24" t="s">
        <v>1376</v>
      </c>
    </row>
    <row r="191" spans="1:4">
      <c r="A191" s="34">
        <v>58002173</v>
      </c>
      <c r="B191" s="50" t="s">
        <v>268</v>
      </c>
      <c r="C191" s="50" t="s">
        <v>1164</v>
      </c>
      <c r="D191" s="24" t="s">
        <v>1376</v>
      </c>
    </row>
    <row r="192" spans="1:4">
      <c r="A192" s="34">
        <v>58002174</v>
      </c>
      <c r="B192" s="50" t="s">
        <v>269</v>
      </c>
      <c r="C192" s="50" t="s">
        <v>1163</v>
      </c>
      <c r="D192" s="24" t="s">
        <v>1376</v>
      </c>
    </row>
    <row r="193" spans="1:4">
      <c r="A193" s="34">
        <v>58002175</v>
      </c>
      <c r="B193" s="50" t="s">
        <v>270</v>
      </c>
      <c r="C193" s="50" t="s">
        <v>1165</v>
      </c>
      <c r="D193" s="24" t="s">
        <v>958</v>
      </c>
    </row>
    <row r="194" spans="1:4">
      <c r="A194" s="34">
        <v>58002177</v>
      </c>
      <c r="B194" s="50" t="s">
        <v>271</v>
      </c>
      <c r="C194" s="50" t="s">
        <v>1166</v>
      </c>
      <c r="D194" s="24" t="s">
        <v>1375</v>
      </c>
    </row>
    <row r="195" spans="1:4">
      <c r="A195" s="34">
        <v>58002178</v>
      </c>
      <c r="B195" s="50" t="s">
        <v>272</v>
      </c>
      <c r="C195" s="50" t="s">
        <v>1168</v>
      </c>
      <c r="D195" s="24" t="s">
        <v>960</v>
      </c>
    </row>
    <row r="196" spans="1:4">
      <c r="A196" s="34">
        <v>58002179</v>
      </c>
      <c r="B196" s="50" t="s">
        <v>273</v>
      </c>
      <c r="C196" s="50" t="s">
        <v>1168</v>
      </c>
      <c r="D196" s="24" t="s">
        <v>960</v>
      </c>
    </row>
    <row r="197" spans="1:4">
      <c r="A197" s="34">
        <v>58002180</v>
      </c>
      <c r="B197" s="50" t="s">
        <v>274</v>
      </c>
      <c r="C197" s="50" t="s">
        <v>1169</v>
      </c>
      <c r="D197" s="24" t="s">
        <v>960</v>
      </c>
    </row>
    <row r="198" spans="1:4">
      <c r="A198" s="34">
        <v>58002181</v>
      </c>
      <c r="B198" s="50" t="s">
        <v>277</v>
      </c>
      <c r="C198" s="50" t="s">
        <v>1170</v>
      </c>
      <c r="D198" s="24" t="s">
        <v>962</v>
      </c>
    </row>
    <row r="199" spans="1:4">
      <c r="A199" s="34">
        <v>58002182</v>
      </c>
      <c r="B199" s="50" t="s">
        <v>279</v>
      </c>
      <c r="C199" s="50" t="s">
        <v>1171</v>
      </c>
      <c r="D199" s="24" t="s">
        <v>1392</v>
      </c>
    </row>
    <row r="200" spans="1:4">
      <c r="A200" s="34">
        <v>58002183</v>
      </c>
      <c r="B200" s="50" t="s">
        <v>280</v>
      </c>
      <c r="C200" s="50" t="s">
        <v>1171</v>
      </c>
      <c r="D200" s="24" t="s">
        <v>1392</v>
      </c>
    </row>
    <row r="201" spans="1:4">
      <c r="A201" s="34">
        <v>58002184</v>
      </c>
      <c r="B201" s="50" t="s">
        <v>282</v>
      </c>
      <c r="C201" s="50" t="s">
        <v>1172</v>
      </c>
      <c r="D201" s="24" t="s">
        <v>1399</v>
      </c>
    </row>
    <row r="202" spans="1:4">
      <c r="A202" s="34">
        <v>58002185</v>
      </c>
      <c r="B202" s="50" t="s">
        <v>284</v>
      </c>
      <c r="C202" s="50" t="s">
        <v>1173</v>
      </c>
      <c r="D202" s="24" t="s">
        <v>1438</v>
      </c>
    </row>
    <row r="203" spans="1:4">
      <c r="A203" s="34">
        <v>58002186</v>
      </c>
      <c r="B203" s="50" t="s">
        <v>285</v>
      </c>
      <c r="C203" s="50" t="s">
        <v>1174</v>
      </c>
      <c r="D203" s="24" t="s">
        <v>970</v>
      </c>
    </row>
    <row r="204" spans="1:4">
      <c r="A204" s="34">
        <v>58002187</v>
      </c>
      <c r="B204" s="50" t="s">
        <v>286</v>
      </c>
      <c r="C204" s="50" t="s">
        <v>1174</v>
      </c>
      <c r="D204" s="24" t="s">
        <v>970</v>
      </c>
    </row>
    <row r="205" spans="1:4">
      <c r="A205" s="34">
        <v>58002189</v>
      </c>
      <c r="B205" s="50" t="s">
        <v>288</v>
      </c>
      <c r="C205" s="50" t="s">
        <v>1175</v>
      </c>
      <c r="D205" s="24" t="s">
        <v>972</v>
      </c>
    </row>
    <row r="206" spans="1:4">
      <c r="A206" s="34">
        <v>58002190</v>
      </c>
      <c r="B206" s="50" t="s">
        <v>289</v>
      </c>
      <c r="C206" s="50" t="s">
        <v>1177</v>
      </c>
      <c r="D206" s="24" t="s">
        <v>972</v>
      </c>
    </row>
    <row r="207" spans="1:4">
      <c r="A207" s="34">
        <v>58002191</v>
      </c>
      <c r="B207" s="50" t="s">
        <v>290</v>
      </c>
      <c r="C207" s="50" t="s">
        <v>1179</v>
      </c>
      <c r="D207" s="24" t="s">
        <v>972</v>
      </c>
    </row>
    <row r="208" spans="1:4">
      <c r="A208" s="34">
        <v>58002192</v>
      </c>
      <c r="B208" s="50" t="s">
        <v>291</v>
      </c>
      <c r="C208" s="50" t="s">
        <v>1181</v>
      </c>
      <c r="D208" s="24" t="s">
        <v>972</v>
      </c>
    </row>
    <row r="209" spans="1:4">
      <c r="A209" s="34">
        <v>58002193</v>
      </c>
      <c r="B209" s="50" t="s">
        <v>292</v>
      </c>
      <c r="C209" s="50" t="s">
        <v>1179</v>
      </c>
      <c r="D209" s="24" t="s">
        <v>972</v>
      </c>
    </row>
    <row r="210" spans="1:4">
      <c r="A210" s="34">
        <v>58002194</v>
      </c>
      <c r="B210" s="50" t="s">
        <v>293</v>
      </c>
      <c r="C210" s="50" t="s">
        <v>1182</v>
      </c>
      <c r="D210" s="24" t="s">
        <v>972</v>
      </c>
    </row>
    <row r="211" spans="1:4">
      <c r="A211" s="34">
        <v>58002195</v>
      </c>
      <c r="B211" s="50" t="s">
        <v>294</v>
      </c>
      <c r="C211" s="50" t="s">
        <v>1046</v>
      </c>
      <c r="D211" s="24" t="s">
        <v>1388</v>
      </c>
    </row>
    <row r="212" spans="1:4">
      <c r="A212" s="34">
        <v>58002196</v>
      </c>
      <c r="B212" s="50" t="s">
        <v>295</v>
      </c>
      <c r="C212" s="50" t="s">
        <v>1184</v>
      </c>
      <c r="D212" s="24" t="s">
        <v>976</v>
      </c>
    </row>
    <row r="213" spans="1:4">
      <c r="A213" s="34">
        <v>58002198</v>
      </c>
      <c r="B213" s="50" t="s">
        <v>298</v>
      </c>
      <c r="C213" s="50" t="s">
        <v>1184</v>
      </c>
      <c r="D213" s="24" t="s">
        <v>976</v>
      </c>
    </row>
    <row r="214" spans="1:4">
      <c r="A214" s="34">
        <v>58002199</v>
      </c>
      <c r="B214" s="50" t="s">
        <v>303</v>
      </c>
      <c r="C214" s="50" t="s">
        <v>1185</v>
      </c>
      <c r="D214" s="24" t="s">
        <v>1378</v>
      </c>
    </row>
    <row r="215" spans="1:4">
      <c r="A215" s="34">
        <v>58002200</v>
      </c>
      <c r="B215" s="50" t="s">
        <v>304</v>
      </c>
      <c r="C215" s="50" t="s">
        <v>1186</v>
      </c>
      <c r="D215" s="24" t="s">
        <v>979</v>
      </c>
    </row>
    <row r="216" spans="1:4">
      <c r="A216" s="34">
        <v>58002201</v>
      </c>
      <c r="B216" s="50" t="s">
        <v>305</v>
      </c>
      <c r="C216" s="50" t="s">
        <v>1187</v>
      </c>
      <c r="D216" s="24" t="s">
        <v>981</v>
      </c>
    </row>
    <row r="217" spans="1:4">
      <c r="A217" s="34">
        <v>58002203</v>
      </c>
      <c r="B217" s="50" t="s">
        <v>307</v>
      </c>
      <c r="C217" s="50" t="s">
        <v>1189</v>
      </c>
      <c r="D217" s="24" t="s">
        <v>983</v>
      </c>
    </row>
    <row r="218" spans="1:4">
      <c r="A218" s="34">
        <v>58002204</v>
      </c>
      <c r="B218" s="50" t="s">
        <v>308</v>
      </c>
      <c r="C218" s="50" t="s">
        <v>1190</v>
      </c>
      <c r="D218" s="24" t="s">
        <v>983</v>
      </c>
    </row>
    <row r="219" spans="1:4">
      <c r="A219" s="34">
        <v>58002205</v>
      </c>
      <c r="B219" s="50" t="s">
        <v>309</v>
      </c>
      <c r="C219" s="50" t="s">
        <v>1190</v>
      </c>
      <c r="D219" s="24" t="s">
        <v>983</v>
      </c>
    </row>
    <row r="220" spans="1:4">
      <c r="A220" s="34">
        <v>58002206</v>
      </c>
      <c r="B220" s="50" t="s">
        <v>310</v>
      </c>
      <c r="C220" s="50" t="s">
        <v>1191</v>
      </c>
      <c r="D220" s="24" t="s">
        <v>1403</v>
      </c>
    </row>
    <row r="221" spans="1:4">
      <c r="A221" s="34">
        <v>58002207</v>
      </c>
      <c r="B221" s="50" t="s">
        <v>311</v>
      </c>
      <c r="C221" s="50" t="s">
        <v>1191</v>
      </c>
      <c r="D221" s="24" t="s">
        <v>1403</v>
      </c>
    </row>
    <row r="222" spans="1:4">
      <c r="A222" s="34">
        <v>58002208</v>
      </c>
      <c r="B222" s="50" t="s">
        <v>312</v>
      </c>
      <c r="C222" s="50" t="s">
        <v>1192</v>
      </c>
      <c r="D222" s="24" t="s">
        <v>1372</v>
      </c>
    </row>
    <row r="223" spans="1:4">
      <c r="A223" s="34">
        <v>58002209</v>
      </c>
      <c r="B223" s="50" t="s">
        <v>313</v>
      </c>
      <c r="C223" s="50" t="s">
        <v>1190</v>
      </c>
      <c r="D223" s="24" t="s">
        <v>983</v>
      </c>
    </row>
    <row r="224" spans="1:4">
      <c r="A224" s="34">
        <v>58002210</v>
      </c>
      <c r="B224" s="50" t="s">
        <v>314</v>
      </c>
      <c r="C224" s="50" t="s">
        <v>1193</v>
      </c>
      <c r="D224" s="24" t="s">
        <v>1439</v>
      </c>
    </row>
    <row r="225" spans="1:4">
      <c r="A225" s="34">
        <v>58002212</v>
      </c>
      <c r="B225" s="50" t="s">
        <v>315</v>
      </c>
      <c r="C225" s="50" t="s">
        <v>1194</v>
      </c>
      <c r="D225" s="24" t="s">
        <v>1377</v>
      </c>
    </row>
    <row r="226" spans="1:4">
      <c r="A226" s="34">
        <v>58002213</v>
      </c>
      <c r="B226" s="50" t="s">
        <v>316</v>
      </c>
      <c r="C226" s="50" t="s">
        <v>1195</v>
      </c>
      <c r="D226" s="24" t="s">
        <v>964</v>
      </c>
    </row>
    <row r="227" spans="1:4">
      <c r="A227" s="34">
        <v>58002214</v>
      </c>
      <c r="B227" s="50" t="s">
        <v>317</v>
      </c>
      <c r="C227" s="50" t="s">
        <v>1196</v>
      </c>
      <c r="D227" s="24" t="s">
        <v>1383</v>
      </c>
    </row>
    <row r="228" spans="1:4">
      <c r="A228" s="34">
        <v>58002215</v>
      </c>
      <c r="B228" s="50" t="s">
        <v>319</v>
      </c>
      <c r="C228" s="50" t="s">
        <v>1197</v>
      </c>
      <c r="D228" s="24" t="s">
        <v>1383</v>
      </c>
    </row>
    <row r="229" spans="1:4">
      <c r="A229" s="34">
        <v>58002216</v>
      </c>
      <c r="B229" s="50" t="s">
        <v>321</v>
      </c>
      <c r="C229" s="50" t="s">
        <v>1198</v>
      </c>
      <c r="D229" s="24" t="s">
        <v>1440</v>
      </c>
    </row>
    <row r="230" spans="1:4">
      <c r="A230" s="34">
        <v>58002217</v>
      </c>
      <c r="B230" s="50" t="s">
        <v>322</v>
      </c>
      <c r="C230" s="50" t="s">
        <v>1199</v>
      </c>
      <c r="D230" s="24" t="s">
        <v>1429</v>
      </c>
    </row>
    <row r="231" spans="1:4">
      <c r="A231" s="34">
        <v>58002218</v>
      </c>
      <c r="B231" s="50" t="s">
        <v>323</v>
      </c>
      <c r="C231" s="50" t="s">
        <v>1200</v>
      </c>
      <c r="D231" s="24" t="s">
        <v>962</v>
      </c>
    </row>
    <row r="232" spans="1:4">
      <c r="A232" s="34">
        <v>58002219</v>
      </c>
      <c r="B232" s="50" t="s">
        <v>327</v>
      </c>
      <c r="C232" s="50" t="s">
        <v>1204</v>
      </c>
      <c r="D232" s="24" t="s">
        <v>962</v>
      </c>
    </row>
    <row r="233" spans="1:4">
      <c r="A233" s="34">
        <v>58002221</v>
      </c>
      <c r="B233" s="50" t="s">
        <v>329</v>
      </c>
      <c r="C233" s="50" t="s">
        <v>1206</v>
      </c>
      <c r="D233" s="24" t="s">
        <v>962</v>
      </c>
    </row>
    <row r="234" spans="1:4">
      <c r="A234" s="34">
        <v>58002222</v>
      </c>
      <c r="B234" s="50" t="s">
        <v>331</v>
      </c>
      <c r="C234" s="50" t="s">
        <v>1207</v>
      </c>
      <c r="D234" s="24" t="s">
        <v>1408</v>
      </c>
    </row>
    <row r="235" spans="1:4">
      <c r="A235" s="34">
        <v>58002223</v>
      </c>
      <c r="B235" s="50" t="s">
        <v>332</v>
      </c>
      <c r="C235" s="50" t="s">
        <v>1209</v>
      </c>
      <c r="D235" s="24" t="s">
        <v>1408</v>
      </c>
    </row>
    <row r="236" spans="1:4">
      <c r="A236" s="34">
        <v>58002225</v>
      </c>
      <c r="B236" s="50" t="s">
        <v>334</v>
      </c>
      <c r="C236" s="50" t="s">
        <v>1210</v>
      </c>
      <c r="D236" s="24" t="s">
        <v>987</v>
      </c>
    </row>
    <row r="237" spans="1:4">
      <c r="A237" s="34">
        <v>58002226</v>
      </c>
      <c r="B237" s="50" t="s">
        <v>336</v>
      </c>
      <c r="C237" s="50" t="s">
        <v>1210</v>
      </c>
      <c r="D237" s="24" t="s">
        <v>987</v>
      </c>
    </row>
    <row r="238" spans="1:4">
      <c r="A238" s="34">
        <v>58002227</v>
      </c>
      <c r="B238" s="50" t="s">
        <v>337</v>
      </c>
      <c r="C238" s="50" t="s">
        <v>1028</v>
      </c>
      <c r="D238" s="24" t="s">
        <v>1387</v>
      </c>
    </row>
    <row r="239" spans="1:4">
      <c r="A239" s="34">
        <v>58002228</v>
      </c>
      <c r="B239" s="50" t="s">
        <v>339</v>
      </c>
      <c r="C239" s="50" t="s">
        <v>1211</v>
      </c>
      <c r="D239" s="24" t="s">
        <v>1380</v>
      </c>
    </row>
    <row r="240" spans="1:4">
      <c r="A240" s="34">
        <v>58002229</v>
      </c>
      <c r="B240" s="50" t="s">
        <v>340</v>
      </c>
      <c r="C240" s="50" t="s">
        <v>1212</v>
      </c>
      <c r="D240" s="24" t="s">
        <v>1380</v>
      </c>
    </row>
    <row r="241" spans="1:4">
      <c r="A241" s="34">
        <v>58002230</v>
      </c>
      <c r="B241" s="50" t="s">
        <v>341</v>
      </c>
      <c r="C241" s="50" t="s">
        <v>1056</v>
      </c>
      <c r="D241" s="24" t="s">
        <v>1380</v>
      </c>
    </row>
    <row r="242" spans="1:4">
      <c r="A242" s="34">
        <v>58002232</v>
      </c>
      <c r="B242" s="50" t="s">
        <v>342</v>
      </c>
      <c r="C242" s="50" t="s">
        <v>1213</v>
      </c>
      <c r="D242" s="24" t="s">
        <v>989</v>
      </c>
    </row>
    <row r="243" spans="1:4">
      <c r="A243" s="34">
        <v>58002233</v>
      </c>
      <c r="B243" s="50" t="s">
        <v>343</v>
      </c>
      <c r="C243" s="50" t="s">
        <v>1213</v>
      </c>
      <c r="D243" s="24" t="s">
        <v>989</v>
      </c>
    </row>
    <row r="244" spans="1:4">
      <c r="A244" s="34">
        <v>58002234</v>
      </c>
      <c r="B244" s="50" t="s">
        <v>344</v>
      </c>
      <c r="C244" s="50" t="s">
        <v>1214</v>
      </c>
      <c r="D244" s="24" t="s">
        <v>990</v>
      </c>
    </row>
    <row r="245" spans="1:4">
      <c r="A245" s="34">
        <v>58002235</v>
      </c>
      <c r="B245" s="50" t="s">
        <v>345</v>
      </c>
      <c r="C245" s="50" t="s">
        <v>1215</v>
      </c>
      <c r="D245" s="24" t="s">
        <v>990</v>
      </c>
    </row>
    <row r="246" spans="1:4">
      <c r="A246" s="34">
        <v>58002236</v>
      </c>
      <c r="B246" s="50" t="s">
        <v>346</v>
      </c>
      <c r="C246" s="50" t="s">
        <v>1216</v>
      </c>
      <c r="D246" s="24" t="s">
        <v>1370</v>
      </c>
    </row>
    <row r="247" spans="1:4">
      <c r="A247" s="34">
        <v>58002237</v>
      </c>
      <c r="B247" s="50" t="s">
        <v>348</v>
      </c>
      <c r="C247" s="50" t="s">
        <v>1217</v>
      </c>
      <c r="D247" s="24" t="s">
        <v>1370</v>
      </c>
    </row>
    <row r="248" spans="1:4">
      <c r="A248" s="34">
        <v>58002238</v>
      </c>
      <c r="B248" s="50" t="s">
        <v>350</v>
      </c>
      <c r="C248" s="50" t="s">
        <v>1218</v>
      </c>
      <c r="D248" s="24" t="s">
        <v>1370</v>
      </c>
    </row>
    <row r="249" spans="1:4">
      <c r="A249" s="34">
        <v>58002240</v>
      </c>
      <c r="B249" s="50" t="s">
        <v>352</v>
      </c>
      <c r="C249" s="50" t="s">
        <v>1219</v>
      </c>
      <c r="D249" s="24" t="s">
        <v>1441</v>
      </c>
    </row>
    <row r="250" spans="1:4">
      <c r="A250" s="34">
        <v>58002242</v>
      </c>
      <c r="B250" s="50" t="s">
        <v>353</v>
      </c>
      <c r="C250" s="50" t="s">
        <v>1220</v>
      </c>
      <c r="D250" s="24" t="s">
        <v>1442</v>
      </c>
    </row>
    <row r="251" spans="1:4">
      <c r="A251" s="34">
        <v>58002243</v>
      </c>
      <c r="B251" s="50" t="s">
        <v>354</v>
      </c>
      <c r="C251" s="50" t="s">
        <v>1021</v>
      </c>
      <c r="D251" s="24" t="s">
        <v>1386</v>
      </c>
    </row>
    <row r="252" spans="1:4">
      <c r="A252" s="34">
        <v>58002246</v>
      </c>
      <c r="B252" s="50" t="s">
        <v>115</v>
      </c>
      <c r="C252" s="50" t="s">
        <v>1011</v>
      </c>
      <c r="D252" s="24" t="s">
        <v>1368</v>
      </c>
    </row>
    <row r="253" spans="1:4">
      <c r="A253" s="34">
        <v>58002247</v>
      </c>
      <c r="B253" s="50" t="s">
        <v>111</v>
      </c>
      <c r="C253" s="50" t="s">
        <v>1072</v>
      </c>
      <c r="D253" s="24" t="s">
        <v>1368</v>
      </c>
    </row>
    <row r="254" spans="1:4">
      <c r="A254" s="34">
        <v>58002248</v>
      </c>
      <c r="B254" s="50" t="s">
        <v>112</v>
      </c>
      <c r="C254" s="50" t="s">
        <v>1072</v>
      </c>
      <c r="D254" s="24" t="s">
        <v>1368</v>
      </c>
    </row>
    <row r="255" spans="1:4">
      <c r="A255" s="34">
        <v>58002249</v>
      </c>
      <c r="B255" s="50" t="s">
        <v>110</v>
      </c>
      <c r="C255" s="50" t="s">
        <v>1011</v>
      </c>
      <c r="D255" s="24" t="s">
        <v>1368</v>
      </c>
    </row>
    <row r="256" spans="1:4">
      <c r="A256" s="34">
        <v>58002250</v>
      </c>
      <c r="B256" s="50" t="s">
        <v>113</v>
      </c>
      <c r="C256" s="50" t="s">
        <v>1011</v>
      </c>
      <c r="D256" s="24" t="s">
        <v>1368</v>
      </c>
    </row>
    <row r="257" spans="1:4">
      <c r="A257" s="34">
        <v>58002252</v>
      </c>
      <c r="B257" s="50" t="s">
        <v>119</v>
      </c>
      <c r="C257" s="50" t="s">
        <v>1003</v>
      </c>
      <c r="D257" s="24" t="s">
        <v>1391</v>
      </c>
    </row>
    <row r="258" spans="1:4">
      <c r="A258" s="34">
        <v>58002256</v>
      </c>
      <c r="B258" s="50" t="s">
        <v>335</v>
      </c>
      <c r="C258" s="50" t="s">
        <v>1039</v>
      </c>
      <c r="D258" s="24" t="s">
        <v>1432</v>
      </c>
    </row>
    <row r="259" spans="1:4">
      <c r="A259" s="34">
        <v>58002257</v>
      </c>
      <c r="B259" s="50" t="s">
        <v>123</v>
      </c>
      <c r="C259" s="50" t="s">
        <v>1075</v>
      </c>
      <c r="D259" s="24" t="s">
        <v>1400</v>
      </c>
    </row>
    <row r="260" spans="1:4">
      <c r="A260" s="34">
        <v>58002258</v>
      </c>
      <c r="B260" s="50" t="s">
        <v>250</v>
      </c>
      <c r="C260" s="50" t="s">
        <v>1152</v>
      </c>
      <c r="D260" s="24" t="s">
        <v>897</v>
      </c>
    </row>
    <row r="261" spans="1:4">
      <c r="A261" s="34">
        <v>58002259</v>
      </c>
      <c r="B261" s="50" t="s">
        <v>125</v>
      </c>
      <c r="C261" s="50" t="s">
        <v>1076</v>
      </c>
      <c r="D261" s="24" t="s">
        <v>1379</v>
      </c>
    </row>
    <row r="262" spans="1:4">
      <c r="A262" s="34">
        <v>58002260</v>
      </c>
      <c r="B262" s="50" t="s">
        <v>126</v>
      </c>
      <c r="C262" s="50" t="s">
        <v>1078</v>
      </c>
      <c r="D262" s="24" t="s">
        <v>1404</v>
      </c>
    </row>
    <row r="263" spans="1:4">
      <c r="A263" s="34">
        <v>58002263</v>
      </c>
      <c r="B263" s="50" t="s">
        <v>131</v>
      </c>
      <c r="C263" s="50" t="s">
        <v>1082</v>
      </c>
      <c r="D263" s="24" t="s">
        <v>1382</v>
      </c>
    </row>
    <row r="264" spans="1:4">
      <c r="A264" s="34">
        <v>58002265</v>
      </c>
      <c r="B264" s="50" t="s">
        <v>134</v>
      </c>
      <c r="C264" s="50" t="s">
        <v>1084</v>
      </c>
      <c r="D264" s="24" t="s">
        <v>1395</v>
      </c>
    </row>
    <row r="265" spans="1:4">
      <c r="A265" s="34">
        <v>58002266</v>
      </c>
      <c r="B265" s="50" t="s">
        <v>138</v>
      </c>
      <c r="C265" s="50" t="s">
        <v>1085</v>
      </c>
      <c r="D265" s="24" t="s">
        <v>1384</v>
      </c>
    </row>
    <row r="266" spans="1:4">
      <c r="A266" s="34">
        <v>58002267</v>
      </c>
      <c r="B266" s="50" t="s">
        <v>137</v>
      </c>
      <c r="C266" s="50" t="s">
        <v>1085</v>
      </c>
      <c r="D266" s="24" t="s">
        <v>1384</v>
      </c>
    </row>
    <row r="267" spans="1:4">
      <c r="A267" s="34">
        <v>58002268</v>
      </c>
      <c r="B267" s="50" t="s">
        <v>135</v>
      </c>
      <c r="C267" s="50" t="s">
        <v>1085</v>
      </c>
      <c r="D267" s="24" t="s">
        <v>1384</v>
      </c>
    </row>
    <row r="268" spans="1:4">
      <c r="A268" s="34">
        <v>58002270</v>
      </c>
      <c r="B268" s="50" t="s">
        <v>144</v>
      </c>
      <c r="C268" s="50" t="s">
        <v>1090</v>
      </c>
      <c r="D268" s="24" t="s">
        <v>1385</v>
      </c>
    </row>
    <row r="269" spans="1:4">
      <c r="A269" s="34">
        <v>58002273</v>
      </c>
      <c r="B269" s="50" t="s">
        <v>148</v>
      </c>
      <c r="C269" s="50" t="s">
        <v>1093</v>
      </c>
      <c r="D269" s="24" t="s">
        <v>1371</v>
      </c>
    </row>
    <row r="270" spans="1:4">
      <c r="A270" s="34">
        <v>58002277</v>
      </c>
      <c r="B270" s="50" t="s">
        <v>330</v>
      </c>
      <c r="C270" s="50" t="s">
        <v>1050</v>
      </c>
      <c r="D270" s="24" t="s">
        <v>1420</v>
      </c>
    </row>
    <row r="271" spans="1:4">
      <c r="A271" s="34">
        <v>58002278</v>
      </c>
      <c r="B271" s="50" t="s">
        <v>152</v>
      </c>
      <c r="C271" s="50" t="s">
        <v>1095</v>
      </c>
      <c r="D271" s="24" t="s">
        <v>1401</v>
      </c>
    </row>
    <row r="272" spans="1:4">
      <c r="A272" s="34">
        <v>58002282</v>
      </c>
      <c r="B272" s="50" t="s">
        <v>158</v>
      </c>
      <c r="C272" s="50" t="s">
        <v>1099</v>
      </c>
      <c r="D272" s="24" t="s">
        <v>1412</v>
      </c>
    </row>
    <row r="273" spans="1:4">
      <c r="A273" s="34">
        <v>58002284</v>
      </c>
      <c r="B273" s="50" t="s">
        <v>165</v>
      </c>
      <c r="C273" s="50" t="s">
        <v>1020</v>
      </c>
      <c r="D273" s="24" t="s">
        <v>1367</v>
      </c>
    </row>
    <row r="274" spans="1:4">
      <c r="A274" s="34">
        <v>58002286</v>
      </c>
      <c r="B274" s="50" t="s">
        <v>161</v>
      </c>
      <c r="C274" s="50" t="s">
        <v>1020</v>
      </c>
      <c r="D274" s="24" t="s">
        <v>1367</v>
      </c>
    </row>
    <row r="275" spans="1:4">
      <c r="A275" s="34">
        <v>58002287</v>
      </c>
      <c r="B275" s="50" t="s">
        <v>166</v>
      </c>
      <c r="C275" s="50" t="s">
        <v>1101</v>
      </c>
      <c r="D275" s="24" t="s">
        <v>1390</v>
      </c>
    </row>
    <row r="276" spans="1:4">
      <c r="A276" s="34">
        <v>58002288</v>
      </c>
      <c r="B276" s="50" t="s">
        <v>167</v>
      </c>
      <c r="C276" s="50" t="s">
        <v>1102</v>
      </c>
      <c r="D276" s="24" t="s">
        <v>1390</v>
      </c>
    </row>
    <row r="277" spans="1:4">
      <c r="A277" s="34">
        <v>58002289</v>
      </c>
      <c r="B277" s="50" t="s">
        <v>171</v>
      </c>
      <c r="C277" s="50" t="s">
        <v>1102</v>
      </c>
      <c r="D277" s="24" t="s">
        <v>1390</v>
      </c>
    </row>
    <row r="278" spans="1:4">
      <c r="A278" s="34">
        <v>58002290</v>
      </c>
      <c r="B278" s="50" t="s">
        <v>172</v>
      </c>
      <c r="C278" s="50" t="s">
        <v>1104</v>
      </c>
      <c r="D278" s="24" t="s">
        <v>1437</v>
      </c>
    </row>
    <row r="279" spans="1:4">
      <c r="A279" s="34">
        <v>58002294</v>
      </c>
      <c r="B279" s="50" t="s">
        <v>187</v>
      </c>
      <c r="C279" s="50" t="s">
        <v>1110</v>
      </c>
      <c r="D279" s="24" t="s">
        <v>912</v>
      </c>
    </row>
    <row r="280" spans="1:4">
      <c r="A280" s="34">
        <v>58002295</v>
      </c>
      <c r="B280" s="50" t="s">
        <v>176</v>
      </c>
      <c r="C280" s="50" t="s">
        <v>1107</v>
      </c>
      <c r="D280" s="24" t="s">
        <v>912</v>
      </c>
    </row>
    <row r="281" spans="1:4">
      <c r="A281" s="34">
        <v>58002296</v>
      </c>
      <c r="B281" s="50" t="s">
        <v>184</v>
      </c>
      <c r="C281" s="50" t="s">
        <v>1113</v>
      </c>
      <c r="D281" s="24" t="s">
        <v>912</v>
      </c>
    </row>
    <row r="282" spans="1:4">
      <c r="A282" s="34">
        <v>58002297</v>
      </c>
      <c r="B282" s="50" t="s">
        <v>189</v>
      </c>
      <c r="C282" s="50" t="s">
        <v>1117</v>
      </c>
      <c r="D282" s="24" t="s">
        <v>912</v>
      </c>
    </row>
    <row r="283" spans="1:4">
      <c r="A283" s="34">
        <v>58002298</v>
      </c>
      <c r="B283" s="50" t="s">
        <v>189</v>
      </c>
      <c r="C283" s="50" t="s">
        <v>1116</v>
      </c>
      <c r="D283" s="24" t="s">
        <v>912</v>
      </c>
    </row>
    <row r="284" spans="1:4">
      <c r="A284" s="34">
        <v>58002299</v>
      </c>
      <c r="B284" s="50" t="s">
        <v>182</v>
      </c>
      <c r="C284" s="50" t="s">
        <v>1112</v>
      </c>
      <c r="D284" s="24" t="s">
        <v>912</v>
      </c>
    </row>
    <row r="285" spans="1:4">
      <c r="A285" s="34">
        <v>58002300</v>
      </c>
      <c r="B285" s="50" t="s">
        <v>177</v>
      </c>
      <c r="C285" s="50" t="s">
        <v>1108</v>
      </c>
      <c r="D285" s="24" t="s">
        <v>912</v>
      </c>
    </row>
    <row r="286" spans="1:4">
      <c r="A286" s="34">
        <v>58002301</v>
      </c>
      <c r="B286" s="50" t="s">
        <v>178</v>
      </c>
      <c r="C286" s="50" t="s">
        <v>1109</v>
      </c>
      <c r="D286" s="24" t="s">
        <v>912</v>
      </c>
    </row>
    <row r="287" spans="1:4">
      <c r="A287" s="34">
        <v>58002302</v>
      </c>
      <c r="B287" s="50" t="s">
        <v>180</v>
      </c>
      <c r="C287" s="50" t="s">
        <v>1111</v>
      </c>
      <c r="D287" s="24" t="s">
        <v>912</v>
      </c>
    </row>
    <row r="288" spans="1:4">
      <c r="A288" s="34">
        <v>58002303</v>
      </c>
      <c r="B288" s="50" t="s">
        <v>179</v>
      </c>
      <c r="C288" s="50" t="s">
        <v>1110</v>
      </c>
      <c r="D288" s="24" t="s">
        <v>912</v>
      </c>
    </row>
    <row r="289" spans="1:4">
      <c r="A289" s="34">
        <v>58002305</v>
      </c>
      <c r="B289" s="50" t="s">
        <v>318</v>
      </c>
      <c r="C289" s="50" t="s">
        <v>1111</v>
      </c>
      <c r="D289" s="24" t="s">
        <v>912</v>
      </c>
    </row>
    <row r="290" spans="1:4">
      <c r="A290" s="34">
        <v>58002306</v>
      </c>
      <c r="B290" s="50" t="s">
        <v>182</v>
      </c>
      <c r="C290" s="50" t="s">
        <v>1112</v>
      </c>
      <c r="D290" s="24" t="s">
        <v>912</v>
      </c>
    </row>
    <row r="291" spans="1:4">
      <c r="A291" s="34">
        <v>58002310</v>
      </c>
      <c r="B291" s="50" t="s">
        <v>195</v>
      </c>
      <c r="C291" s="50" t="s">
        <v>1120</v>
      </c>
      <c r="D291" s="24" t="s">
        <v>915</v>
      </c>
    </row>
    <row r="292" spans="1:4">
      <c r="A292" s="34">
        <v>58002311</v>
      </c>
      <c r="B292" s="50" t="s">
        <v>196</v>
      </c>
      <c r="C292" s="50" t="s">
        <v>1121</v>
      </c>
      <c r="D292" s="24" t="s">
        <v>915</v>
      </c>
    </row>
    <row r="293" spans="1:4">
      <c r="A293" s="34">
        <v>58002312</v>
      </c>
      <c r="B293" s="50" t="s">
        <v>198</v>
      </c>
      <c r="C293" s="50" t="s">
        <v>1123</v>
      </c>
      <c r="D293" s="24" t="s">
        <v>915</v>
      </c>
    </row>
    <row r="294" spans="1:4">
      <c r="A294" s="34">
        <v>58002314</v>
      </c>
      <c r="B294" s="50" t="s">
        <v>351</v>
      </c>
      <c r="C294" s="50" t="s">
        <v>1201</v>
      </c>
      <c r="D294" s="24" t="s">
        <v>1363</v>
      </c>
    </row>
    <row r="295" spans="1:4">
      <c r="A295" s="34">
        <v>58002315</v>
      </c>
      <c r="B295" s="50" t="s">
        <v>202</v>
      </c>
      <c r="C295" s="50" t="s">
        <v>1126</v>
      </c>
      <c r="D295" s="24" t="s">
        <v>1402</v>
      </c>
    </row>
    <row r="296" spans="1:4">
      <c r="A296" s="34">
        <v>58002318</v>
      </c>
      <c r="B296" s="50" t="s">
        <v>210</v>
      </c>
      <c r="C296" s="50" t="s">
        <v>1132</v>
      </c>
      <c r="D296" s="24" t="s">
        <v>921</v>
      </c>
    </row>
    <row r="297" spans="1:4">
      <c r="A297" s="34">
        <v>58002319</v>
      </c>
      <c r="B297" s="50" t="s">
        <v>214</v>
      </c>
      <c r="C297" s="50" t="s">
        <v>1135</v>
      </c>
      <c r="D297" s="24" t="s">
        <v>921</v>
      </c>
    </row>
    <row r="298" spans="1:4">
      <c r="A298" s="34">
        <v>58002320</v>
      </c>
      <c r="B298" s="50" t="s">
        <v>215</v>
      </c>
      <c r="C298" s="50" t="s">
        <v>1135</v>
      </c>
      <c r="D298" s="24" t="s">
        <v>921</v>
      </c>
    </row>
    <row r="299" spans="1:4">
      <c r="A299" s="34">
        <v>58002321</v>
      </c>
      <c r="B299" s="50" t="s">
        <v>217</v>
      </c>
      <c r="C299" s="50" t="s">
        <v>1088</v>
      </c>
      <c r="D299" s="24" t="s">
        <v>921</v>
      </c>
    </row>
    <row r="300" spans="1:4">
      <c r="A300" s="34">
        <v>58002322</v>
      </c>
      <c r="B300" s="50" t="s">
        <v>96</v>
      </c>
      <c r="C300" s="50" t="s">
        <v>1038</v>
      </c>
      <c r="D300" s="24" t="s">
        <v>1431</v>
      </c>
    </row>
    <row r="301" spans="1:4">
      <c r="A301" s="34">
        <v>58002324</v>
      </c>
      <c r="B301" s="50" t="s">
        <v>219</v>
      </c>
      <c r="C301" s="50" t="s">
        <v>1137</v>
      </c>
      <c r="D301" s="24" t="s">
        <v>926</v>
      </c>
    </row>
    <row r="302" spans="1:4">
      <c r="A302" s="34">
        <v>58002326</v>
      </c>
      <c r="B302" s="50" t="s">
        <v>223</v>
      </c>
      <c r="C302" s="50" t="s">
        <v>1141</v>
      </c>
      <c r="D302" s="24" t="s">
        <v>929</v>
      </c>
    </row>
    <row r="303" spans="1:4">
      <c r="A303" s="34">
        <v>58002327</v>
      </c>
      <c r="B303" s="50" t="s">
        <v>222</v>
      </c>
      <c r="C303" s="50" t="s">
        <v>1140</v>
      </c>
      <c r="D303" s="24" t="s">
        <v>929</v>
      </c>
    </row>
    <row r="304" spans="1:4">
      <c r="A304" s="34">
        <v>58002334</v>
      </c>
      <c r="B304" s="50" t="s">
        <v>232</v>
      </c>
      <c r="C304" s="50" t="s">
        <v>1148</v>
      </c>
      <c r="D304" s="24" t="s">
        <v>933</v>
      </c>
    </row>
    <row r="305" spans="1:4">
      <c r="A305" s="34">
        <v>58002337</v>
      </c>
      <c r="B305" s="50" t="s">
        <v>239</v>
      </c>
      <c r="C305" s="50" t="s">
        <v>1041</v>
      </c>
      <c r="D305" s="24" t="s">
        <v>936</v>
      </c>
    </row>
    <row r="306" spans="1:4">
      <c r="A306" s="34">
        <v>58002339</v>
      </c>
      <c r="B306" s="50" t="s">
        <v>241</v>
      </c>
      <c r="C306" s="50" t="s">
        <v>1041</v>
      </c>
      <c r="D306" s="24" t="s">
        <v>936</v>
      </c>
    </row>
    <row r="307" spans="1:4">
      <c r="A307" s="34">
        <v>58002340</v>
      </c>
      <c r="B307" s="50" t="s">
        <v>242</v>
      </c>
      <c r="C307" s="50" t="s">
        <v>1041</v>
      </c>
      <c r="D307" s="24" t="s">
        <v>936</v>
      </c>
    </row>
    <row r="308" spans="1:4">
      <c r="A308" s="34">
        <v>58002346</v>
      </c>
      <c r="B308" s="50" t="s">
        <v>246</v>
      </c>
      <c r="C308" s="50" t="s">
        <v>1010</v>
      </c>
      <c r="D308" s="24" t="s">
        <v>1396</v>
      </c>
    </row>
    <row r="309" spans="1:4">
      <c r="A309" s="34">
        <v>58002347</v>
      </c>
      <c r="B309" s="50" t="s">
        <v>248</v>
      </c>
      <c r="C309" s="50" t="s">
        <v>1010</v>
      </c>
      <c r="D309" s="24" t="s">
        <v>1396</v>
      </c>
    </row>
    <row r="310" spans="1:4">
      <c r="A310" s="34">
        <v>58002348</v>
      </c>
      <c r="B310" s="50" t="s">
        <v>249</v>
      </c>
      <c r="C310" s="50" t="s">
        <v>1010</v>
      </c>
      <c r="D310" s="24" t="s">
        <v>1396</v>
      </c>
    </row>
    <row r="311" spans="1:4">
      <c r="A311" s="34">
        <v>58002350</v>
      </c>
      <c r="B311" s="50" t="s">
        <v>251</v>
      </c>
      <c r="C311" s="50" t="s">
        <v>1153</v>
      </c>
      <c r="D311" s="24" t="s">
        <v>942</v>
      </c>
    </row>
    <row r="312" spans="1:4">
      <c r="A312" s="34">
        <v>58002351</v>
      </c>
      <c r="B312" s="50" t="s">
        <v>259</v>
      </c>
      <c r="C312" s="50" t="s">
        <v>1155</v>
      </c>
      <c r="D312" s="24" t="s">
        <v>945</v>
      </c>
    </row>
    <row r="313" spans="1:4">
      <c r="A313" s="34">
        <v>58002355</v>
      </c>
      <c r="B313" s="50" t="s">
        <v>256</v>
      </c>
      <c r="C313" s="50" t="s">
        <v>1155</v>
      </c>
      <c r="D313" s="24" t="s">
        <v>945</v>
      </c>
    </row>
    <row r="314" spans="1:4">
      <c r="A314" s="34">
        <v>58002357</v>
      </c>
      <c r="B314" s="50" t="s">
        <v>263</v>
      </c>
      <c r="C314" s="50" t="s">
        <v>1158</v>
      </c>
      <c r="D314" s="24" t="s">
        <v>1409</v>
      </c>
    </row>
    <row r="315" spans="1:4">
      <c r="A315" s="34">
        <v>58002358</v>
      </c>
      <c r="B315" s="50" t="s">
        <v>262</v>
      </c>
      <c r="C315" s="50" t="s">
        <v>1158</v>
      </c>
      <c r="D315" s="24" t="s">
        <v>1409</v>
      </c>
    </row>
    <row r="316" spans="1:4">
      <c r="A316" s="34">
        <v>58002360</v>
      </c>
      <c r="B316" s="50" t="s">
        <v>105</v>
      </c>
      <c r="C316" s="50" t="s">
        <v>1054</v>
      </c>
      <c r="D316" s="24" t="s">
        <v>950</v>
      </c>
    </row>
    <row r="317" spans="1:4">
      <c r="A317" s="34">
        <v>58002365</v>
      </c>
      <c r="B317" s="50" t="s">
        <v>312</v>
      </c>
      <c r="C317" s="50" t="s">
        <v>1192</v>
      </c>
      <c r="D317" s="24" t="s">
        <v>1372</v>
      </c>
    </row>
    <row r="318" spans="1:4">
      <c r="A318" s="34">
        <v>58002367</v>
      </c>
      <c r="B318" s="50" t="s">
        <v>205</v>
      </c>
      <c r="C318" s="50" t="s">
        <v>1131</v>
      </c>
      <c r="D318" s="24" t="s">
        <v>1443</v>
      </c>
    </row>
    <row r="319" spans="1:4">
      <c r="A319" s="34">
        <v>58002368</v>
      </c>
      <c r="B319" s="50" t="s">
        <v>264</v>
      </c>
      <c r="C319" s="50" t="s">
        <v>1160</v>
      </c>
      <c r="D319" s="24" t="s">
        <v>954</v>
      </c>
    </row>
    <row r="320" spans="1:4">
      <c r="A320" s="34">
        <v>58002369</v>
      </c>
      <c r="B320" s="50" t="s">
        <v>328</v>
      </c>
      <c r="C320" s="50" t="s">
        <v>1205</v>
      </c>
      <c r="D320" s="24" t="s">
        <v>1375</v>
      </c>
    </row>
    <row r="321" spans="1:4">
      <c r="A321" s="34">
        <v>58002370</v>
      </c>
      <c r="B321" s="50" t="s">
        <v>266</v>
      </c>
      <c r="C321" s="50" t="s">
        <v>1162</v>
      </c>
      <c r="D321" s="24" t="s">
        <v>956</v>
      </c>
    </row>
    <row r="322" spans="1:4">
      <c r="A322" s="34">
        <v>58002376</v>
      </c>
      <c r="B322" s="50" t="s">
        <v>271</v>
      </c>
      <c r="C322" s="50" t="s">
        <v>1167</v>
      </c>
      <c r="D322" s="24" t="s">
        <v>1375</v>
      </c>
    </row>
    <row r="323" spans="1:4">
      <c r="A323" s="34">
        <v>58002377</v>
      </c>
      <c r="B323" s="50" t="s">
        <v>275</v>
      </c>
      <c r="C323" s="50" t="s">
        <v>1168</v>
      </c>
      <c r="D323" s="24" t="s">
        <v>960</v>
      </c>
    </row>
    <row r="324" spans="1:4">
      <c r="A324" s="34">
        <v>58002378</v>
      </c>
      <c r="B324" s="50" t="s">
        <v>276</v>
      </c>
      <c r="C324" s="50" t="s">
        <v>1169</v>
      </c>
      <c r="D324" s="24" t="s">
        <v>960</v>
      </c>
    </row>
    <row r="325" spans="1:4">
      <c r="A325" s="34">
        <v>58002379</v>
      </c>
      <c r="B325" s="50" t="s">
        <v>272</v>
      </c>
      <c r="C325" s="50" t="s">
        <v>1168</v>
      </c>
      <c r="D325" s="24" t="s">
        <v>960</v>
      </c>
    </row>
    <row r="326" spans="1:4">
      <c r="A326" s="34">
        <v>58002380</v>
      </c>
      <c r="B326" s="50" t="s">
        <v>273</v>
      </c>
      <c r="C326" s="50" t="s">
        <v>1168</v>
      </c>
      <c r="D326" s="24" t="s">
        <v>960</v>
      </c>
    </row>
    <row r="327" spans="1:4">
      <c r="A327" s="34">
        <v>58002381</v>
      </c>
      <c r="B327" s="50" t="s">
        <v>280</v>
      </c>
      <c r="C327" s="50" t="s">
        <v>1171</v>
      </c>
      <c r="D327" s="24" t="s">
        <v>1392</v>
      </c>
    </row>
    <row r="328" spans="1:4">
      <c r="A328" s="34">
        <v>58002383</v>
      </c>
      <c r="B328" s="50" t="s">
        <v>282</v>
      </c>
      <c r="C328" s="50" t="s">
        <v>1172</v>
      </c>
      <c r="D328" s="24" t="s">
        <v>1399</v>
      </c>
    </row>
    <row r="329" spans="1:4">
      <c r="A329" s="34">
        <v>58002385</v>
      </c>
      <c r="B329" s="50" t="s">
        <v>285</v>
      </c>
      <c r="C329" s="50" t="s">
        <v>1174</v>
      </c>
      <c r="D329" s="24" t="s">
        <v>970</v>
      </c>
    </row>
    <row r="330" spans="1:4">
      <c r="A330" s="34">
        <v>58002386</v>
      </c>
      <c r="B330" s="50" t="s">
        <v>287</v>
      </c>
      <c r="C330" s="50" t="s">
        <v>1174</v>
      </c>
      <c r="D330" s="24" t="s">
        <v>970</v>
      </c>
    </row>
    <row r="331" spans="1:4">
      <c r="A331" s="34">
        <v>58002388</v>
      </c>
      <c r="B331" s="50" t="s">
        <v>289</v>
      </c>
      <c r="C331" s="50" t="s">
        <v>1178</v>
      </c>
      <c r="D331" s="24" t="s">
        <v>972</v>
      </c>
    </row>
    <row r="332" spans="1:4">
      <c r="A332" s="34">
        <v>58002389</v>
      </c>
      <c r="B332" s="50" t="s">
        <v>291</v>
      </c>
      <c r="C332" s="50" t="s">
        <v>1177</v>
      </c>
      <c r="D332" s="24" t="s">
        <v>972</v>
      </c>
    </row>
    <row r="333" spans="1:4">
      <c r="A333" s="34">
        <v>58002391</v>
      </c>
      <c r="B333" s="50" t="s">
        <v>293</v>
      </c>
      <c r="C333" s="50" t="s">
        <v>1183</v>
      </c>
      <c r="D333" s="24" t="s">
        <v>972</v>
      </c>
    </row>
    <row r="334" spans="1:4">
      <c r="A334" s="34">
        <v>58002392</v>
      </c>
      <c r="B334" s="50" t="s">
        <v>288</v>
      </c>
      <c r="C334" s="50" t="s">
        <v>1176</v>
      </c>
      <c r="D334" s="24" t="s">
        <v>972</v>
      </c>
    </row>
    <row r="335" spans="1:4">
      <c r="A335" s="34">
        <v>58002393</v>
      </c>
      <c r="B335" s="50" t="s">
        <v>290</v>
      </c>
      <c r="C335" s="50" t="s">
        <v>1180</v>
      </c>
      <c r="D335" s="24" t="s">
        <v>972</v>
      </c>
    </row>
    <row r="336" spans="1:4">
      <c r="A336" s="34">
        <v>58002394</v>
      </c>
      <c r="B336" s="50" t="s">
        <v>170</v>
      </c>
      <c r="C336" s="50" t="s">
        <v>1103</v>
      </c>
      <c r="D336" s="24" t="s">
        <v>1390</v>
      </c>
    </row>
    <row r="337" spans="1:4">
      <c r="A337" s="34">
        <v>58002395</v>
      </c>
      <c r="B337" s="50" t="s">
        <v>296</v>
      </c>
      <c r="C337" s="50" t="s">
        <v>1024</v>
      </c>
      <c r="D337" s="24" t="s">
        <v>976</v>
      </c>
    </row>
    <row r="338" spans="1:4">
      <c r="A338" s="34">
        <v>58002396</v>
      </c>
      <c r="B338" s="50" t="s">
        <v>297</v>
      </c>
      <c r="C338" s="50" t="s">
        <v>1184</v>
      </c>
      <c r="D338" s="24" t="s">
        <v>976</v>
      </c>
    </row>
    <row r="339" spans="1:4">
      <c r="A339" s="34">
        <v>58002398</v>
      </c>
      <c r="B339" s="50" t="s">
        <v>300</v>
      </c>
      <c r="C339" s="50" t="s">
        <v>1184</v>
      </c>
      <c r="D339" s="24" t="s">
        <v>976</v>
      </c>
    </row>
    <row r="340" spans="1:4">
      <c r="A340" s="34">
        <v>58002399</v>
      </c>
      <c r="B340" s="50" t="s">
        <v>296</v>
      </c>
      <c r="C340" s="50" t="s">
        <v>1024</v>
      </c>
      <c r="D340" s="24" t="s">
        <v>976</v>
      </c>
    </row>
    <row r="341" spans="1:4">
      <c r="A341" s="34">
        <v>58002400</v>
      </c>
      <c r="B341" s="50" t="s">
        <v>301</v>
      </c>
      <c r="C341" s="50" t="s">
        <v>1184</v>
      </c>
      <c r="D341" s="24" t="s">
        <v>976</v>
      </c>
    </row>
    <row r="342" spans="1:4">
      <c r="A342" s="34">
        <v>58002407</v>
      </c>
      <c r="B342" s="50" t="s">
        <v>308</v>
      </c>
      <c r="C342" s="50" t="s">
        <v>1190</v>
      </c>
      <c r="D342" s="24" t="s">
        <v>983</v>
      </c>
    </row>
    <row r="343" spans="1:4">
      <c r="A343" s="34">
        <v>58002410</v>
      </c>
      <c r="B343" s="50" t="s">
        <v>54</v>
      </c>
      <c r="C343" s="50" t="s">
        <v>1194</v>
      </c>
      <c r="D343" s="24" t="s">
        <v>1377</v>
      </c>
    </row>
    <row r="344" spans="1:4">
      <c r="A344" s="34">
        <v>58002411</v>
      </c>
      <c r="B344" s="50" t="s">
        <v>278</v>
      </c>
      <c r="C344" s="50" t="s">
        <v>1170</v>
      </c>
      <c r="D344" s="24" t="s">
        <v>1492</v>
      </c>
    </row>
    <row r="345" spans="1:4">
      <c r="A345" s="34">
        <v>58002412</v>
      </c>
      <c r="B345" s="50" t="s">
        <v>206</v>
      </c>
      <c r="C345" s="50" t="s">
        <v>1130</v>
      </c>
      <c r="D345" s="24" t="s">
        <v>1383</v>
      </c>
    </row>
    <row r="346" spans="1:4">
      <c r="A346" s="34">
        <v>58002413</v>
      </c>
      <c r="B346" s="50" t="s">
        <v>207</v>
      </c>
      <c r="C346" s="50" t="s">
        <v>1129</v>
      </c>
      <c r="D346" s="24" t="s">
        <v>1383</v>
      </c>
    </row>
    <row r="347" spans="1:4">
      <c r="A347" s="34">
        <v>58002415</v>
      </c>
      <c r="B347" s="50" t="s">
        <v>208</v>
      </c>
      <c r="C347" s="50" t="s">
        <v>1128</v>
      </c>
      <c r="D347" s="24" t="s">
        <v>1444</v>
      </c>
    </row>
    <row r="348" spans="1:4">
      <c r="A348" s="34">
        <v>58002416</v>
      </c>
      <c r="B348" s="50" t="s">
        <v>326</v>
      </c>
      <c r="C348" s="50" t="s">
        <v>1203</v>
      </c>
      <c r="D348" s="24" t="s">
        <v>912</v>
      </c>
    </row>
    <row r="349" spans="1:4">
      <c r="A349" s="34">
        <v>58002417</v>
      </c>
      <c r="B349" s="50" t="s">
        <v>325</v>
      </c>
      <c r="C349" s="50" t="s">
        <v>1202</v>
      </c>
      <c r="D349" s="24" t="s">
        <v>915</v>
      </c>
    </row>
    <row r="350" spans="1:4">
      <c r="A350" s="34">
        <v>58002418</v>
      </c>
      <c r="B350" s="50" t="s">
        <v>234</v>
      </c>
      <c r="C350" s="50" t="s">
        <v>1032</v>
      </c>
      <c r="D350" s="24" t="s">
        <v>962</v>
      </c>
    </row>
    <row r="351" spans="1:4">
      <c r="A351" s="34">
        <v>58002419</v>
      </c>
      <c r="B351" s="50" t="s">
        <v>220</v>
      </c>
      <c r="C351" s="50" t="s">
        <v>1138</v>
      </c>
      <c r="D351" s="24" t="s">
        <v>962</v>
      </c>
    </row>
    <row r="352" spans="1:4">
      <c r="A352" s="34">
        <v>58002420</v>
      </c>
      <c r="B352" s="50" t="s">
        <v>331</v>
      </c>
      <c r="C352" s="50" t="s">
        <v>1208</v>
      </c>
      <c r="D352" s="24" t="s">
        <v>1408</v>
      </c>
    </row>
    <row r="353" spans="1:4">
      <c r="A353" s="34">
        <v>58002421</v>
      </c>
      <c r="B353" s="50" t="s">
        <v>333</v>
      </c>
      <c r="C353" s="50" t="s">
        <v>1209</v>
      </c>
      <c r="D353" s="24" t="s">
        <v>1408</v>
      </c>
    </row>
    <row r="354" spans="1:4">
      <c r="A354" s="34">
        <v>58002425</v>
      </c>
      <c r="B354" s="50" t="s">
        <v>338</v>
      </c>
      <c r="C354" s="50" t="s">
        <v>1028</v>
      </c>
      <c r="D354" s="24" t="s">
        <v>1387</v>
      </c>
    </row>
    <row r="355" spans="1:4">
      <c r="A355" s="34">
        <v>58002428</v>
      </c>
      <c r="B355" s="50" t="s">
        <v>320</v>
      </c>
      <c r="C355" s="50" t="s">
        <v>1056</v>
      </c>
      <c r="D355" s="24" t="s">
        <v>1380</v>
      </c>
    </row>
    <row r="356" spans="1:4">
      <c r="A356" s="34">
        <v>58002431</v>
      </c>
      <c r="B356" s="50" t="s">
        <v>347</v>
      </c>
      <c r="C356" s="50" t="s">
        <v>1056</v>
      </c>
      <c r="D356" s="24" t="s">
        <v>1380</v>
      </c>
    </row>
    <row r="357" spans="1:4">
      <c r="A357" s="34">
        <v>58002433</v>
      </c>
      <c r="B357" s="50" t="s">
        <v>140</v>
      </c>
      <c r="C357" s="50" t="s">
        <v>1056</v>
      </c>
      <c r="D357" s="24" t="s">
        <v>1380</v>
      </c>
    </row>
    <row r="358" spans="1:4">
      <c r="A358" s="34">
        <v>58002435</v>
      </c>
      <c r="B358" s="50" t="s">
        <v>76</v>
      </c>
      <c r="C358" s="50" t="s">
        <v>1036</v>
      </c>
      <c r="D358" s="24" t="s">
        <v>989</v>
      </c>
    </row>
    <row r="359" spans="1:4">
      <c r="A359" s="34">
        <v>58002436</v>
      </c>
      <c r="B359" s="50" t="s">
        <v>219</v>
      </c>
      <c r="C359" s="50" t="s">
        <v>997</v>
      </c>
      <c r="D359" s="24" t="s">
        <v>990</v>
      </c>
    </row>
    <row r="360" spans="1:4">
      <c r="A360" s="34">
        <v>58002437</v>
      </c>
      <c r="B360" s="50" t="s">
        <v>349</v>
      </c>
      <c r="C360" s="50" t="s">
        <v>1217</v>
      </c>
      <c r="D360" s="24" t="s">
        <v>1370</v>
      </c>
    </row>
    <row r="361" spans="1:4">
      <c r="A361" s="34">
        <v>58002439</v>
      </c>
      <c r="B361" s="50" t="s">
        <v>306</v>
      </c>
      <c r="C361" s="50" t="s">
        <v>1188</v>
      </c>
      <c r="D361" s="24" t="s">
        <v>1445</v>
      </c>
    </row>
    <row r="362" spans="1:4">
      <c r="A362" s="34">
        <v>58002440</v>
      </c>
      <c r="B362" s="50" t="s">
        <v>353</v>
      </c>
      <c r="C362" s="50" t="s">
        <v>1220</v>
      </c>
      <c r="D362" s="24" t="s">
        <v>1442</v>
      </c>
    </row>
    <row r="363" spans="1:4">
      <c r="A363" s="34">
        <v>58002443</v>
      </c>
      <c r="B363" s="50" t="s">
        <v>355</v>
      </c>
      <c r="C363" s="50" t="s">
        <v>1221</v>
      </c>
      <c r="D363" s="24" t="s">
        <v>1446</v>
      </c>
    </row>
    <row r="364" spans="1:4">
      <c r="A364" s="34">
        <v>58002444</v>
      </c>
      <c r="B364" s="50" t="s">
        <v>155</v>
      </c>
      <c r="C364" s="50" t="s">
        <v>1097</v>
      </c>
      <c r="D364" s="24" t="s">
        <v>1411</v>
      </c>
    </row>
    <row r="365" spans="1:4">
      <c r="A365" s="34">
        <v>58002995</v>
      </c>
      <c r="B365" s="50" t="s">
        <v>356</v>
      </c>
      <c r="C365" s="50" t="s">
        <v>1222</v>
      </c>
      <c r="D365" s="24" t="s">
        <v>1370</v>
      </c>
    </row>
    <row r="366" spans="1:4">
      <c r="A366" s="34">
        <v>58003001</v>
      </c>
      <c r="B366" s="50" t="s">
        <v>324</v>
      </c>
      <c r="C366" s="50" t="s">
        <v>1032</v>
      </c>
      <c r="D366" s="24" t="s">
        <v>962</v>
      </c>
    </row>
    <row r="367" spans="1:4">
      <c r="A367" s="34">
        <v>58003005</v>
      </c>
      <c r="B367" s="50" t="s">
        <v>357</v>
      </c>
      <c r="C367" s="50" t="s">
        <v>1223</v>
      </c>
      <c r="D367" s="24" t="s">
        <v>1445</v>
      </c>
    </row>
    <row r="368" spans="1:4">
      <c r="A368" s="34">
        <v>58003007</v>
      </c>
      <c r="B368" s="50" t="s">
        <v>358</v>
      </c>
      <c r="C368" s="50" t="s">
        <v>1224</v>
      </c>
      <c r="D368" s="24" t="s">
        <v>1447</v>
      </c>
    </row>
    <row r="369" spans="1:4">
      <c r="A369" s="34">
        <v>58003010</v>
      </c>
      <c r="B369" s="50" t="s">
        <v>166</v>
      </c>
      <c r="C369" s="50" t="s">
        <v>1101</v>
      </c>
      <c r="D369" s="24" t="s">
        <v>1390</v>
      </c>
    </row>
    <row r="370" spans="1:4">
      <c r="A370" s="34">
        <v>58003013</v>
      </c>
      <c r="B370" s="50" t="s">
        <v>359</v>
      </c>
      <c r="C370" s="50" t="s">
        <v>1225</v>
      </c>
      <c r="D370" s="24" t="s">
        <v>1448</v>
      </c>
    </row>
    <row r="371" spans="1:4">
      <c r="A371" s="34">
        <v>58003015</v>
      </c>
      <c r="B371" s="50" t="s">
        <v>323</v>
      </c>
      <c r="C371" s="50" t="s">
        <v>1200</v>
      </c>
      <c r="D371" s="24" t="s">
        <v>962</v>
      </c>
    </row>
    <row r="372" spans="1:4">
      <c r="A372" s="34">
        <v>58003016</v>
      </c>
      <c r="B372" s="50" t="s">
        <v>63</v>
      </c>
      <c r="C372" s="50" t="s">
        <v>1003</v>
      </c>
      <c r="D372" s="24" t="s">
        <v>1391</v>
      </c>
    </row>
    <row r="373" spans="1:4">
      <c r="A373" s="34">
        <v>58003033</v>
      </c>
      <c r="B373" s="50" t="s">
        <v>360</v>
      </c>
      <c r="C373" s="50" t="s">
        <v>1226</v>
      </c>
      <c r="D373" s="24" t="s">
        <v>1381</v>
      </c>
    </row>
    <row r="374" spans="1:4">
      <c r="A374" s="34">
        <v>58003041</v>
      </c>
      <c r="B374" s="50" t="s">
        <v>362</v>
      </c>
      <c r="C374" s="50" t="s">
        <v>1206</v>
      </c>
      <c r="D374" s="24" t="s">
        <v>962</v>
      </c>
    </row>
    <row r="375" spans="1:4">
      <c r="A375" s="34">
        <v>58003043</v>
      </c>
      <c r="B375" s="50" t="s">
        <v>372</v>
      </c>
      <c r="C375" s="50" t="s">
        <v>1233</v>
      </c>
      <c r="D375" s="24" t="s">
        <v>902</v>
      </c>
    </row>
    <row r="376" spans="1:4">
      <c r="A376" s="34">
        <v>58003044</v>
      </c>
      <c r="B376" s="50" t="s">
        <v>1234</v>
      </c>
      <c r="C376" s="50" t="s">
        <v>1235</v>
      </c>
      <c r="D376" s="24" t="s">
        <v>1449</v>
      </c>
    </row>
    <row r="377" spans="1:4">
      <c r="A377" s="34">
        <v>58003047</v>
      </c>
      <c r="B377" s="50" t="s">
        <v>201</v>
      </c>
      <c r="C377" s="50" t="s">
        <v>1125</v>
      </c>
      <c r="D377" s="24" t="s">
        <v>1402</v>
      </c>
    </row>
    <row r="378" spans="1:4">
      <c r="A378" s="34">
        <v>58003048</v>
      </c>
      <c r="B378" s="50" t="s">
        <v>1236</v>
      </c>
      <c r="C378" s="50" t="s">
        <v>1220</v>
      </c>
      <c r="D378" s="24" t="s">
        <v>1442</v>
      </c>
    </row>
    <row r="379" spans="1:4">
      <c r="A379" s="34">
        <v>58003056</v>
      </c>
      <c r="B379" s="50" t="s">
        <v>356</v>
      </c>
      <c r="C379" s="50" t="s">
        <v>1222</v>
      </c>
      <c r="D379" s="24" t="s">
        <v>1370</v>
      </c>
    </row>
    <row r="380" spans="1:4">
      <c r="A380" s="34">
        <v>58003063</v>
      </c>
      <c r="B380" s="50" t="s">
        <v>411</v>
      </c>
      <c r="C380" s="50" t="s">
        <v>1021</v>
      </c>
      <c r="D380" s="24" t="s">
        <v>1386</v>
      </c>
    </row>
    <row r="381" spans="1:4">
      <c r="A381" s="34">
        <v>58003079</v>
      </c>
      <c r="B381" s="50" t="s">
        <v>324</v>
      </c>
      <c r="C381" s="50" t="s">
        <v>1032</v>
      </c>
      <c r="D381" s="24" t="s">
        <v>962</v>
      </c>
    </row>
    <row r="382" spans="1:4">
      <c r="A382" s="34">
        <v>58003082</v>
      </c>
      <c r="B382" s="50" t="s">
        <v>283</v>
      </c>
      <c r="C382" s="50" t="s">
        <v>1172</v>
      </c>
      <c r="D382" s="24" t="s">
        <v>1399</v>
      </c>
    </row>
    <row r="383" spans="1:4">
      <c r="A383" s="34">
        <v>58003083</v>
      </c>
      <c r="B383" s="50" t="s">
        <v>412</v>
      </c>
      <c r="C383" s="50" t="s">
        <v>1191</v>
      </c>
      <c r="D383" s="24" t="s">
        <v>1403</v>
      </c>
    </row>
    <row r="384" spans="1:4">
      <c r="A384" s="34">
        <v>58003088</v>
      </c>
      <c r="B384" s="50" t="s">
        <v>402</v>
      </c>
      <c r="C384" s="50" t="s">
        <v>1028</v>
      </c>
      <c r="D384" s="24" t="s">
        <v>1387</v>
      </c>
    </row>
    <row r="385" spans="1:4">
      <c r="A385" s="34">
        <v>58003091</v>
      </c>
      <c r="B385" s="50" t="s">
        <v>373</v>
      </c>
      <c r="C385" s="50" t="s">
        <v>1000</v>
      </c>
      <c r="D385" s="24" t="s">
        <v>1421</v>
      </c>
    </row>
    <row r="386" spans="1:4">
      <c r="A386" s="34">
        <v>58003096</v>
      </c>
      <c r="B386" s="50" t="s">
        <v>385</v>
      </c>
      <c r="C386" s="50" t="s">
        <v>1034</v>
      </c>
      <c r="D386" s="24" t="s">
        <v>1430</v>
      </c>
    </row>
    <row r="387" spans="1:4">
      <c r="A387" s="34">
        <v>58003108</v>
      </c>
      <c r="B387" s="50" t="s">
        <v>413</v>
      </c>
      <c r="C387" s="50" t="s">
        <v>1261</v>
      </c>
      <c r="D387" s="24" t="s">
        <v>1450</v>
      </c>
    </row>
    <row r="388" spans="1:4">
      <c r="A388" s="34">
        <v>58003126</v>
      </c>
      <c r="B388" s="50" t="s">
        <v>414</v>
      </c>
      <c r="C388" s="50" t="s">
        <v>1220</v>
      </c>
      <c r="D388" s="24" t="s">
        <v>1442</v>
      </c>
    </row>
    <row r="389" spans="1:4">
      <c r="A389" s="34">
        <v>58003129</v>
      </c>
      <c r="B389" s="50" t="s">
        <v>368</v>
      </c>
      <c r="C389" s="50" t="s">
        <v>1230</v>
      </c>
      <c r="D389" s="24" t="s">
        <v>1451</v>
      </c>
    </row>
    <row r="390" spans="1:4">
      <c r="A390" s="34">
        <v>58003130</v>
      </c>
      <c r="B390" s="50" t="s">
        <v>92</v>
      </c>
      <c r="C390" s="50" t="s">
        <v>1031</v>
      </c>
      <c r="D390" s="24" t="s">
        <v>962</v>
      </c>
    </row>
    <row r="391" spans="1:4">
      <c r="A391" s="34">
        <v>58003138</v>
      </c>
      <c r="B391" s="50" t="s">
        <v>415</v>
      </c>
      <c r="C391" s="50" t="s">
        <v>1262</v>
      </c>
      <c r="D391" s="24" t="s">
        <v>1407</v>
      </c>
    </row>
    <row r="392" spans="1:4">
      <c r="A392" s="34">
        <v>58003139</v>
      </c>
      <c r="B392" s="50" t="s">
        <v>416</v>
      </c>
      <c r="C392" s="50" t="s">
        <v>1263</v>
      </c>
      <c r="D392" s="24" t="s">
        <v>1452</v>
      </c>
    </row>
    <row r="393" spans="1:4">
      <c r="A393" s="34">
        <v>58003144</v>
      </c>
      <c r="B393" s="50" t="s">
        <v>389</v>
      </c>
      <c r="C393" s="50" t="s">
        <v>1050</v>
      </c>
      <c r="D393" s="24" t="s">
        <v>1420</v>
      </c>
    </row>
    <row r="394" spans="1:4">
      <c r="A394" s="34">
        <v>58003146</v>
      </c>
      <c r="B394" s="50" t="s">
        <v>417</v>
      </c>
      <c r="C394" s="50" t="s">
        <v>1264</v>
      </c>
      <c r="D394" s="24" t="s">
        <v>1450</v>
      </c>
    </row>
    <row r="395" spans="1:4">
      <c r="A395" s="34">
        <v>58003153</v>
      </c>
      <c r="B395" s="50" t="s">
        <v>372</v>
      </c>
      <c r="C395" s="50" t="s">
        <v>1233</v>
      </c>
      <c r="D395" s="24" t="s">
        <v>902</v>
      </c>
    </row>
    <row r="396" spans="1:4">
      <c r="A396" s="34">
        <v>58003156</v>
      </c>
      <c r="B396" s="50" t="s">
        <v>1259</v>
      </c>
      <c r="C396" s="50" t="s">
        <v>1010</v>
      </c>
      <c r="D396" s="24" t="s">
        <v>1396</v>
      </c>
    </row>
    <row r="397" spans="1:4">
      <c r="A397" s="34">
        <v>58003162</v>
      </c>
      <c r="B397" s="50" t="s">
        <v>187</v>
      </c>
      <c r="C397" s="50" t="s">
        <v>1110</v>
      </c>
      <c r="D397" s="24" t="s">
        <v>912</v>
      </c>
    </row>
    <row r="398" spans="1:4">
      <c r="A398" s="34">
        <v>58003172</v>
      </c>
      <c r="B398" s="50" t="s">
        <v>281</v>
      </c>
      <c r="C398" s="50" t="s">
        <v>1171</v>
      </c>
      <c r="D398" s="24" t="s">
        <v>1392</v>
      </c>
    </row>
    <row r="399" spans="1:4">
      <c r="A399" s="34">
        <v>58003179</v>
      </c>
      <c r="B399" s="50" t="s">
        <v>377</v>
      </c>
      <c r="C399" s="50" t="s">
        <v>1239</v>
      </c>
      <c r="D399" s="24" t="s">
        <v>1453</v>
      </c>
    </row>
    <row r="400" spans="1:4">
      <c r="A400" s="34">
        <v>58003182</v>
      </c>
      <c r="B400" s="50" t="s">
        <v>391</v>
      </c>
      <c r="C400" s="50" t="s">
        <v>1249</v>
      </c>
      <c r="D400" s="24" t="s">
        <v>1384</v>
      </c>
    </row>
    <row r="401" spans="1:4">
      <c r="A401" s="34">
        <v>58003199</v>
      </c>
      <c r="B401" s="50" t="s">
        <v>372</v>
      </c>
      <c r="C401" s="50" t="s">
        <v>1233</v>
      </c>
      <c r="D401" s="24" t="s">
        <v>902</v>
      </c>
    </row>
    <row r="402" spans="1:4">
      <c r="A402" s="34">
        <v>58003202</v>
      </c>
      <c r="B402" s="50" t="s">
        <v>324</v>
      </c>
      <c r="C402" s="50" t="s">
        <v>1032</v>
      </c>
      <c r="D402" s="24" t="s">
        <v>962</v>
      </c>
    </row>
    <row r="403" spans="1:4">
      <c r="A403" s="34">
        <v>58003203</v>
      </c>
      <c r="B403" s="50" t="s">
        <v>263</v>
      </c>
      <c r="C403" s="50" t="s">
        <v>1158</v>
      </c>
      <c r="D403" s="24" t="s">
        <v>1409</v>
      </c>
    </row>
    <row r="404" spans="1:4">
      <c r="A404" s="34">
        <v>58003217</v>
      </c>
      <c r="B404" s="50" t="s">
        <v>375</v>
      </c>
      <c r="C404" s="50" t="s">
        <v>1237</v>
      </c>
      <c r="D404" s="24" t="s">
        <v>1454</v>
      </c>
    </row>
    <row r="405" spans="1:4">
      <c r="A405" s="34">
        <v>58003222</v>
      </c>
      <c r="B405" s="50" t="s">
        <v>356</v>
      </c>
      <c r="C405" s="50" t="s">
        <v>1222</v>
      </c>
      <c r="D405" s="24" t="s">
        <v>1370</v>
      </c>
    </row>
    <row r="406" spans="1:4">
      <c r="A406" s="34">
        <v>58003235</v>
      </c>
      <c r="B406" s="50" t="s">
        <v>423</v>
      </c>
      <c r="C406" s="50" t="s">
        <v>1267</v>
      </c>
      <c r="D406" s="24" t="s">
        <v>1390</v>
      </c>
    </row>
    <row r="407" spans="1:4">
      <c r="A407" s="34">
        <v>58003242</v>
      </c>
      <c r="B407" s="50" t="s">
        <v>366</v>
      </c>
      <c r="C407" s="50" t="s">
        <v>1229</v>
      </c>
      <c r="D407" s="24" t="s">
        <v>1455</v>
      </c>
    </row>
    <row r="408" spans="1:4">
      <c r="A408" s="34">
        <v>58003254</v>
      </c>
      <c r="B408" s="50" t="s">
        <v>374</v>
      </c>
      <c r="C408" s="50" t="s">
        <v>1229</v>
      </c>
      <c r="D408" s="24" t="s">
        <v>1455</v>
      </c>
    </row>
    <row r="409" spans="1:4">
      <c r="A409" s="34">
        <v>58003265</v>
      </c>
      <c r="B409" s="50" t="s">
        <v>418</v>
      </c>
      <c r="C409" s="50" t="s">
        <v>1059</v>
      </c>
      <c r="D409" s="24" t="s">
        <v>1491</v>
      </c>
    </row>
    <row r="410" spans="1:4">
      <c r="A410" s="34">
        <v>58003266</v>
      </c>
      <c r="B410" s="50" t="s">
        <v>363</v>
      </c>
      <c r="C410" s="50" t="s">
        <v>1067</v>
      </c>
      <c r="D410" s="24" t="s">
        <v>1387</v>
      </c>
    </row>
    <row r="411" spans="1:4">
      <c r="A411" s="34">
        <v>58003268</v>
      </c>
      <c r="B411" s="50" t="s">
        <v>203</v>
      </c>
      <c r="C411" s="50" t="s">
        <v>1126</v>
      </c>
      <c r="D411" s="24" t="s">
        <v>1402</v>
      </c>
    </row>
    <row r="412" spans="1:4">
      <c r="A412" s="34">
        <v>58003278</v>
      </c>
      <c r="B412" s="50" t="s">
        <v>370</v>
      </c>
      <c r="C412" s="50" t="s">
        <v>1232</v>
      </c>
      <c r="D412" s="24" t="s">
        <v>1456</v>
      </c>
    </row>
    <row r="413" spans="1:4">
      <c r="A413" s="34">
        <v>58003286</v>
      </c>
      <c r="B413" s="50" t="s">
        <v>395</v>
      </c>
      <c r="C413" s="50" t="s">
        <v>1253</v>
      </c>
      <c r="D413" s="24" t="s">
        <v>1456</v>
      </c>
    </row>
    <row r="414" spans="1:4">
      <c r="A414" s="34">
        <v>58003304</v>
      </c>
      <c r="B414" s="50" t="s">
        <v>383</v>
      </c>
      <c r="C414" s="50" t="s">
        <v>1242</v>
      </c>
      <c r="D414" s="24" t="s">
        <v>1406</v>
      </c>
    </row>
    <row r="415" spans="1:4">
      <c r="A415" s="34">
        <v>58003316</v>
      </c>
      <c r="B415" s="50" t="s">
        <v>1256</v>
      </c>
      <c r="C415" s="50" t="s">
        <v>1257</v>
      </c>
      <c r="D415" s="24" t="s">
        <v>1439</v>
      </c>
    </row>
    <row r="416" spans="1:4">
      <c r="A416" s="34">
        <v>58003319</v>
      </c>
      <c r="B416" s="50" t="s">
        <v>408</v>
      </c>
      <c r="C416" s="50" t="s">
        <v>1260</v>
      </c>
      <c r="D416" s="24" t="s">
        <v>1457</v>
      </c>
    </row>
    <row r="417" spans="1:4">
      <c r="A417" s="34">
        <v>58003334</v>
      </c>
      <c r="B417" s="50" t="s">
        <v>369</v>
      </c>
      <c r="C417" s="50" t="s">
        <v>1231</v>
      </c>
      <c r="D417" s="24" t="s">
        <v>1458</v>
      </c>
    </row>
    <row r="418" spans="1:4">
      <c r="A418" s="34">
        <v>58003341</v>
      </c>
      <c r="B418" s="50" t="s">
        <v>403</v>
      </c>
      <c r="C418" s="50" t="s">
        <v>1028</v>
      </c>
      <c r="D418" s="24" t="s">
        <v>1387</v>
      </c>
    </row>
    <row r="419" spans="1:4">
      <c r="A419" s="34">
        <v>58003342</v>
      </c>
      <c r="B419" s="50" t="s">
        <v>404</v>
      </c>
      <c r="C419" s="50" t="s">
        <v>1258</v>
      </c>
      <c r="D419" s="24" t="s">
        <v>1459</v>
      </c>
    </row>
    <row r="420" spans="1:4">
      <c r="A420" s="34">
        <v>58003352</v>
      </c>
      <c r="B420" s="50" t="s">
        <v>390</v>
      </c>
      <c r="C420" s="50" t="s">
        <v>1073</v>
      </c>
      <c r="D420" s="24" t="s">
        <v>1410</v>
      </c>
    </row>
    <row r="421" spans="1:4">
      <c r="A421" s="34">
        <v>58003356</v>
      </c>
      <c r="B421" s="50" t="s">
        <v>405</v>
      </c>
      <c r="C421" s="50" t="s">
        <v>1171</v>
      </c>
      <c r="D421" s="24" t="s">
        <v>1392</v>
      </c>
    </row>
    <row r="422" spans="1:4">
      <c r="A422" s="34">
        <v>58003362</v>
      </c>
      <c r="B422" s="50" t="s">
        <v>406</v>
      </c>
      <c r="C422" s="50" t="s">
        <v>1228</v>
      </c>
      <c r="D422" s="24" t="s">
        <v>1460</v>
      </c>
    </row>
    <row r="423" spans="1:4">
      <c r="A423" s="34">
        <v>58003369</v>
      </c>
      <c r="B423" s="50" t="s">
        <v>424</v>
      </c>
      <c r="C423" s="50" t="s">
        <v>1268</v>
      </c>
      <c r="D423" s="24" t="s">
        <v>1461</v>
      </c>
    </row>
    <row r="424" spans="1:4">
      <c r="A424" s="34">
        <v>58003370</v>
      </c>
      <c r="B424" s="50" t="s">
        <v>430</v>
      </c>
      <c r="C424" s="50" t="s">
        <v>1270</v>
      </c>
      <c r="D424" s="24" t="s">
        <v>1462</v>
      </c>
    </row>
    <row r="425" spans="1:4">
      <c r="A425" s="34">
        <v>58003371</v>
      </c>
      <c r="B425" s="50" t="s">
        <v>356</v>
      </c>
      <c r="C425" s="50" t="s">
        <v>1222</v>
      </c>
      <c r="D425" s="24" t="s">
        <v>1370</v>
      </c>
    </row>
    <row r="426" spans="1:4">
      <c r="A426" s="34">
        <v>58003385</v>
      </c>
      <c r="B426" s="50" t="s">
        <v>431</v>
      </c>
      <c r="C426" s="50" t="s">
        <v>1252</v>
      </c>
      <c r="D426" s="24" t="s">
        <v>1463</v>
      </c>
    </row>
    <row r="427" spans="1:4">
      <c r="A427" s="34">
        <v>58003396</v>
      </c>
      <c r="B427" s="50" t="s">
        <v>427</v>
      </c>
      <c r="C427" s="50" t="s">
        <v>1219</v>
      </c>
      <c r="D427" s="24" t="s">
        <v>1441</v>
      </c>
    </row>
    <row r="428" spans="1:4">
      <c r="A428" s="34">
        <v>58003402</v>
      </c>
      <c r="B428" s="50" t="s">
        <v>397</v>
      </c>
      <c r="C428" s="50" t="s">
        <v>1220</v>
      </c>
      <c r="D428" s="24" t="s">
        <v>1442</v>
      </c>
    </row>
    <row r="429" spans="1:4">
      <c r="A429" s="34">
        <v>58003407</v>
      </c>
      <c r="B429" s="50" t="s">
        <v>379</v>
      </c>
      <c r="C429" s="50" t="s">
        <v>1240</v>
      </c>
      <c r="D429" s="24" t="s">
        <v>1464</v>
      </c>
    </row>
    <row r="430" spans="1:4">
      <c r="A430" s="34">
        <v>58003413</v>
      </c>
      <c r="B430" s="50" t="s">
        <v>376</v>
      </c>
      <c r="C430" s="50" t="s">
        <v>1238</v>
      </c>
      <c r="D430" s="24" t="s">
        <v>1465</v>
      </c>
    </row>
    <row r="431" spans="1:4">
      <c r="A431" s="34">
        <v>58003424</v>
      </c>
      <c r="B431" s="50" t="s">
        <v>378</v>
      </c>
      <c r="C431" s="50" t="s">
        <v>1016</v>
      </c>
      <c r="D431" s="24" t="s">
        <v>1425</v>
      </c>
    </row>
    <row r="432" spans="1:4">
      <c r="A432" s="34">
        <v>58003431</v>
      </c>
      <c r="B432" s="50" t="s">
        <v>410</v>
      </c>
      <c r="C432" s="50" t="s">
        <v>1086</v>
      </c>
      <c r="D432" s="24" t="s">
        <v>1372</v>
      </c>
    </row>
    <row r="433" spans="1:4">
      <c r="A433" s="34">
        <v>58003440</v>
      </c>
      <c r="B433" s="50" t="s">
        <v>1248</v>
      </c>
      <c r="C433" s="50" t="s">
        <v>1229</v>
      </c>
      <c r="D433" s="24" t="s">
        <v>1455</v>
      </c>
    </row>
    <row r="434" spans="1:4">
      <c r="A434" s="34">
        <v>58003455</v>
      </c>
      <c r="B434" s="50" t="s">
        <v>1243</v>
      </c>
      <c r="C434" s="50" t="s">
        <v>1244</v>
      </c>
      <c r="D434" s="24" t="s">
        <v>1454</v>
      </c>
    </row>
    <row r="435" spans="1:4">
      <c r="A435" s="34">
        <v>58003460</v>
      </c>
      <c r="B435" s="50" t="s">
        <v>401</v>
      </c>
      <c r="C435" s="50" t="s">
        <v>1199</v>
      </c>
      <c r="D435" s="24" t="s">
        <v>1429</v>
      </c>
    </row>
    <row r="436" spans="1:4">
      <c r="A436" s="34">
        <v>58003462</v>
      </c>
      <c r="B436" s="50" t="s">
        <v>384</v>
      </c>
      <c r="C436" s="50" t="s">
        <v>1245</v>
      </c>
      <c r="D436" s="24" t="s">
        <v>1466</v>
      </c>
    </row>
    <row r="437" spans="1:4">
      <c r="A437" s="34">
        <v>58003463</v>
      </c>
      <c r="B437" s="50" t="s">
        <v>382</v>
      </c>
      <c r="C437" s="50" t="s">
        <v>1230</v>
      </c>
      <c r="D437" s="24" t="s">
        <v>1451</v>
      </c>
    </row>
    <row r="438" spans="1:4">
      <c r="A438" s="34">
        <v>58003468</v>
      </c>
      <c r="B438" s="50" t="s">
        <v>218</v>
      </c>
      <c r="C438" s="50" t="s">
        <v>1136</v>
      </c>
      <c r="D438" s="24" t="s">
        <v>926</v>
      </c>
    </row>
    <row r="439" spans="1:4">
      <c r="A439" s="34">
        <v>58003470</v>
      </c>
      <c r="B439" s="50" t="s">
        <v>323</v>
      </c>
      <c r="C439" s="50" t="s">
        <v>1031</v>
      </c>
      <c r="D439" s="24" t="s">
        <v>962</v>
      </c>
    </row>
    <row r="440" spans="1:4">
      <c r="A440" s="34">
        <v>58003483</v>
      </c>
      <c r="B440" s="50" t="s">
        <v>432</v>
      </c>
      <c r="C440" s="50" t="s">
        <v>1079</v>
      </c>
      <c r="D440" s="24" t="s">
        <v>1394</v>
      </c>
    </row>
    <row r="441" spans="1:4">
      <c r="A441" s="34">
        <v>58003490</v>
      </c>
      <c r="B441" s="50" t="s">
        <v>420</v>
      </c>
      <c r="C441" s="50" t="s">
        <v>1265</v>
      </c>
      <c r="D441" s="24" t="s">
        <v>1464</v>
      </c>
    </row>
    <row r="442" spans="1:4">
      <c r="A442" s="34">
        <v>58003500</v>
      </c>
      <c r="B442" s="50" t="s">
        <v>429</v>
      </c>
      <c r="C442" s="50" t="s">
        <v>1020</v>
      </c>
      <c r="D442" s="24" t="s">
        <v>1367</v>
      </c>
    </row>
    <row r="443" spans="1:4">
      <c r="A443" s="34">
        <v>58003504</v>
      </c>
      <c r="B443" s="50" t="s">
        <v>422</v>
      </c>
      <c r="C443" s="50" t="s">
        <v>1266</v>
      </c>
      <c r="D443" s="24" t="s">
        <v>1467</v>
      </c>
    </row>
    <row r="444" spans="1:4">
      <c r="A444" s="34">
        <v>58003507</v>
      </c>
      <c r="B444" s="50" t="s">
        <v>356</v>
      </c>
      <c r="C444" s="50" t="s">
        <v>1222</v>
      </c>
      <c r="D444" s="24" t="s">
        <v>1370</v>
      </c>
    </row>
    <row r="445" spans="1:4">
      <c r="A445" s="34">
        <v>58003510</v>
      </c>
      <c r="B445" s="50" t="s">
        <v>356</v>
      </c>
      <c r="C445" s="50" t="s">
        <v>1222</v>
      </c>
      <c r="D445" s="24" t="s">
        <v>1370</v>
      </c>
    </row>
    <row r="446" spans="1:4">
      <c r="A446" s="34">
        <v>58003512</v>
      </c>
      <c r="B446" s="50" t="s">
        <v>357</v>
      </c>
      <c r="C446" s="50" t="s">
        <v>1223</v>
      </c>
      <c r="D446" s="24" t="s">
        <v>1445</v>
      </c>
    </row>
    <row r="447" spans="1:4">
      <c r="A447" s="34">
        <v>58003514</v>
      </c>
      <c r="B447" s="50" t="s">
        <v>400</v>
      </c>
      <c r="C447" s="50" t="s">
        <v>1046</v>
      </c>
      <c r="D447" s="24" t="s">
        <v>1388</v>
      </c>
    </row>
    <row r="448" spans="1:4">
      <c r="A448" s="34">
        <v>58003515</v>
      </c>
      <c r="B448" s="50" t="s">
        <v>299</v>
      </c>
      <c r="C448" s="50" t="s">
        <v>1184</v>
      </c>
      <c r="D448" s="24" t="s">
        <v>976</v>
      </c>
    </row>
    <row r="449" spans="1:4">
      <c r="A449" s="34">
        <v>58003522</v>
      </c>
      <c r="B449" s="50" t="s">
        <v>393</v>
      </c>
      <c r="C449" s="50" t="s">
        <v>1251</v>
      </c>
      <c r="D449" s="24" t="s">
        <v>1468</v>
      </c>
    </row>
    <row r="450" spans="1:4">
      <c r="A450" s="34">
        <v>58003525</v>
      </c>
      <c r="B450" s="50" t="s">
        <v>188</v>
      </c>
      <c r="C450" s="50" t="s">
        <v>1110</v>
      </c>
      <c r="D450" s="24" t="s">
        <v>912</v>
      </c>
    </row>
    <row r="451" spans="1:4">
      <c r="A451" s="34">
        <v>58003530</v>
      </c>
      <c r="B451" s="50" t="s">
        <v>381</v>
      </c>
      <c r="C451" s="50" t="s">
        <v>1230</v>
      </c>
      <c r="D451" s="24" t="s">
        <v>1451</v>
      </c>
    </row>
    <row r="452" spans="1:4">
      <c r="A452" s="34">
        <v>58003532</v>
      </c>
      <c r="B452" s="50" t="s">
        <v>425</v>
      </c>
      <c r="C452" s="50" t="s">
        <v>1022</v>
      </c>
      <c r="D452" s="24" t="s">
        <v>1428</v>
      </c>
    </row>
    <row r="453" spans="1:4">
      <c r="A453" s="34">
        <v>58003536</v>
      </c>
      <c r="B453" s="50" t="s">
        <v>394</v>
      </c>
      <c r="C453" s="50" t="s">
        <v>1252</v>
      </c>
      <c r="D453" s="24" t="s">
        <v>1463</v>
      </c>
    </row>
    <row r="454" spans="1:4">
      <c r="A454" s="34">
        <v>58003543</v>
      </c>
      <c r="B454" s="50" t="s">
        <v>409</v>
      </c>
      <c r="C454" s="50" t="s">
        <v>1015</v>
      </c>
      <c r="D454" s="24" t="s">
        <v>1424</v>
      </c>
    </row>
    <row r="455" spans="1:4">
      <c r="A455" s="34">
        <v>58003560</v>
      </c>
      <c r="B455" s="50" t="s">
        <v>171</v>
      </c>
      <c r="C455" s="50" t="s">
        <v>1102</v>
      </c>
      <c r="D455" s="24" t="s">
        <v>1390</v>
      </c>
    </row>
    <row r="456" spans="1:4">
      <c r="A456" s="34">
        <v>58003562</v>
      </c>
      <c r="B456" s="50" t="s">
        <v>360</v>
      </c>
      <c r="C456" s="50" t="s">
        <v>1226</v>
      </c>
      <c r="D456" s="24" t="s">
        <v>1381</v>
      </c>
    </row>
    <row r="457" spans="1:4">
      <c r="A457" s="34">
        <v>58003569</v>
      </c>
      <c r="B457" s="50" t="s">
        <v>351</v>
      </c>
      <c r="C457" s="50" t="s">
        <v>1201</v>
      </c>
      <c r="D457" s="24" t="s">
        <v>1363</v>
      </c>
    </row>
    <row r="458" spans="1:4">
      <c r="A458" s="34">
        <v>58003570</v>
      </c>
      <c r="B458" s="50" t="s">
        <v>380</v>
      </c>
      <c r="C458" s="50" t="s">
        <v>1241</v>
      </c>
      <c r="D458" s="24" t="s">
        <v>1434</v>
      </c>
    </row>
    <row r="459" spans="1:4">
      <c r="A459" s="34">
        <v>58003577</v>
      </c>
      <c r="B459" s="50" t="s">
        <v>367</v>
      </c>
      <c r="C459" s="50" t="s">
        <v>1086</v>
      </c>
      <c r="D459" s="24" t="s">
        <v>1372</v>
      </c>
    </row>
    <row r="460" spans="1:4">
      <c r="A460" s="34">
        <v>58003579</v>
      </c>
      <c r="B460" s="50" t="s">
        <v>262</v>
      </c>
      <c r="C460" s="50" t="s">
        <v>1158</v>
      </c>
      <c r="D460" s="24" t="s">
        <v>1409</v>
      </c>
    </row>
    <row r="461" spans="1:4">
      <c r="A461" s="34">
        <v>58003583</v>
      </c>
      <c r="B461" s="50" t="s">
        <v>387</v>
      </c>
      <c r="C461" s="50" t="s">
        <v>1247</v>
      </c>
      <c r="D461" s="24" t="s">
        <v>1420</v>
      </c>
    </row>
    <row r="462" spans="1:4">
      <c r="A462" s="34">
        <v>58003585</v>
      </c>
      <c r="B462" s="50" t="s">
        <v>361</v>
      </c>
      <c r="C462" s="50" t="s">
        <v>1227</v>
      </c>
      <c r="D462" s="24" t="s">
        <v>1381</v>
      </c>
    </row>
    <row r="463" spans="1:4">
      <c r="A463" s="34">
        <v>58003587</v>
      </c>
      <c r="B463" s="50" t="s">
        <v>201</v>
      </c>
      <c r="C463" s="50" t="s">
        <v>1125</v>
      </c>
      <c r="D463" s="24" t="s">
        <v>1402</v>
      </c>
    </row>
    <row r="464" spans="1:4">
      <c r="A464" s="34">
        <v>58003589</v>
      </c>
      <c r="B464" s="50" t="s">
        <v>362</v>
      </c>
      <c r="C464" s="50" t="s">
        <v>1206</v>
      </c>
      <c r="D464" s="24" t="s">
        <v>962</v>
      </c>
    </row>
    <row r="465" spans="1:4">
      <c r="A465" s="34">
        <v>58003596</v>
      </c>
      <c r="B465" s="50" t="s">
        <v>433</v>
      </c>
      <c r="C465" s="50" t="s">
        <v>1003</v>
      </c>
      <c r="D465" s="24" t="s">
        <v>1391</v>
      </c>
    </row>
    <row r="466" spans="1:4">
      <c r="A466" s="34">
        <v>58003600</v>
      </c>
      <c r="B466" s="50" t="s">
        <v>325</v>
      </c>
      <c r="C466" s="50" t="s">
        <v>1201</v>
      </c>
      <c r="D466" s="24" t="s">
        <v>1363</v>
      </c>
    </row>
    <row r="467" spans="1:4">
      <c r="A467" s="34">
        <v>58003604</v>
      </c>
      <c r="B467" s="50" t="s">
        <v>428</v>
      </c>
      <c r="C467" s="50" t="s">
        <v>1269</v>
      </c>
      <c r="D467" s="24" t="s">
        <v>1469</v>
      </c>
    </row>
    <row r="468" spans="1:4">
      <c r="A468" s="34">
        <v>58003622</v>
      </c>
      <c r="B468" s="50" t="s">
        <v>365</v>
      </c>
      <c r="C468" s="50" t="s">
        <v>1228</v>
      </c>
      <c r="D468" s="24" t="s">
        <v>1460</v>
      </c>
    </row>
    <row r="469" spans="1:4">
      <c r="A469" s="34">
        <v>58003628</v>
      </c>
      <c r="B469" s="50" t="s">
        <v>421</v>
      </c>
      <c r="C469" s="50" t="s">
        <v>1231</v>
      </c>
      <c r="D469" s="24" t="s">
        <v>1458</v>
      </c>
    </row>
    <row r="470" spans="1:4">
      <c r="A470" s="34">
        <v>58003629</v>
      </c>
      <c r="B470" s="50" t="s">
        <v>407</v>
      </c>
      <c r="C470" s="50" t="s">
        <v>1228</v>
      </c>
      <c r="D470" s="24" t="s">
        <v>1460</v>
      </c>
    </row>
    <row r="471" spans="1:4">
      <c r="A471" s="34">
        <v>58003633</v>
      </c>
      <c r="B471" s="50" t="s">
        <v>364</v>
      </c>
      <c r="C471" s="50" t="s">
        <v>1018</v>
      </c>
      <c r="D471" s="24" t="s">
        <v>1427</v>
      </c>
    </row>
    <row r="472" spans="1:4">
      <c r="A472" s="34">
        <v>58003650</v>
      </c>
      <c r="B472" s="50" t="s">
        <v>371</v>
      </c>
      <c r="C472" s="50" t="s">
        <v>1163</v>
      </c>
      <c r="D472" s="24" t="s">
        <v>1376</v>
      </c>
    </row>
    <row r="473" spans="1:4">
      <c r="A473" s="34">
        <v>58003658</v>
      </c>
      <c r="B473" s="50" t="s">
        <v>263</v>
      </c>
      <c r="C473" s="50" t="s">
        <v>1159</v>
      </c>
      <c r="D473" s="24" t="s">
        <v>1409</v>
      </c>
    </row>
    <row r="474" spans="1:4">
      <c r="A474" s="34">
        <v>58003668</v>
      </c>
      <c r="B474" s="50" t="s">
        <v>426</v>
      </c>
      <c r="C474" s="50" t="s">
        <v>1012</v>
      </c>
      <c r="D474" s="24" t="s">
        <v>1422</v>
      </c>
    </row>
    <row r="475" spans="1:4">
      <c r="A475" s="34">
        <v>58003670</v>
      </c>
      <c r="B475" s="50" t="s">
        <v>388</v>
      </c>
      <c r="C475" s="50" t="s">
        <v>1050</v>
      </c>
      <c r="D475" s="24" t="s">
        <v>1420</v>
      </c>
    </row>
    <row r="476" spans="1:4">
      <c r="A476" s="34">
        <v>58003677</v>
      </c>
      <c r="B476" s="50" t="s">
        <v>386</v>
      </c>
      <c r="C476" s="50" t="s">
        <v>1246</v>
      </c>
      <c r="D476" s="24" t="s">
        <v>1470</v>
      </c>
    </row>
    <row r="477" spans="1:4">
      <c r="A477" s="34">
        <v>58003681</v>
      </c>
      <c r="B477" s="50" t="s">
        <v>419</v>
      </c>
      <c r="C477" s="50" t="s">
        <v>1010</v>
      </c>
      <c r="D477" s="24" t="s">
        <v>1396</v>
      </c>
    </row>
    <row r="478" spans="1:4">
      <c r="A478" s="34">
        <v>58003685</v>
      </c>
      <c r="B478" s="50" t="s">
        <v>360</v>
      </c>
      <c r="C478" s="50" t="s">
        <v>1227</v>
      </c>
      <c r="D478" s="24" t="s">
        <v>1381</v>
      </c>
    </row>
    <row r="479" spans="1:4">
      <c r="A479" s="34">
        <v>58003693</v>
      </c>
      <c r="B479" s="50" t="s">
        <v>93</v>
      </c>
      <c r="C479" s="50" t="s">
        <v>1032</v>
      </c>
      <c r="D479" s="24" t="s">
        <v>962</v>
      </c>
    </row>
    <row r="480" spans="1:4">
      <c r="A480" s="34">
        <v>58003694</v>
      </c>
      <c r="B480" s="50" t="s">
        <v>152</v>
      </c>
      <c r="C480" s="50" t="s">
        <v>1095</v>
      </c>
      <c r="D480" s="24" t="s">
        <v>1401</v>
      </c>
    </row>
    <row r="481" spans="1:4">
      <c r="A481" s="34">
        <v>58003701</v>
      </c>
      <c r="B481" s="50" t="s">
        <v>392</v>
      </c>
      <c r="C481" s="50" t="s">
        <v>1250</v>
      </c>
      <c r="D481" s="24" t="s">
        <v>1398</v>
      </c>
    </row>
    <row r="482" spans="1:4">
      <c r="A482" s="34">
        <v>58003702</v>
      </c>
      <c r="B482" s="50" t="s">
        <v>168</v>
      </c>
      <c r="C482" s="50" t="s">
        <v>1102</v>
      </c>
      <c r="D482" s="24" t="s">
        <v>1390</v>
      </c>
    </row>
    <row r="483" spans="1:4">
      <c r="A483" s="34">
        <v>58003704</v>
      </c>
      <c r="B483" s="50" t="s">
        <v>116</v>
      </c>
      <c r="C483" s="50" t="s">
        <v>1011</v>
      </c>
      <c r="D483" s="24" t="s">
        <v>1368</v>
      </c>
    </row>
    <row r="484" spans="1:4">
      <c r="A484" s="34">
        <v>58003715</v>
      </c>
      <c r="B484" s="50" t="s">
        <v>372</v>
      </c>
      <c r="C484" s="50" t="s">
        <v>1233</v>
      </c>
      <c r="D484" s="24" t="s">
        <v>902</v>
      </c>
    </row>
    <row r="485" spans="1:4">
      <c r="A485" s="34">
        <v>58003725</v>
      </c>
      <c r="B485" s="50" t="s">
        <v>302</v>
      </c>
      <c r="C485" s="50" t="s">
        <v>1184</v>
      </c>
      <c r="D485" s="24" t="s">
        <v>976</v>
      </c>
    </row>
    <row r="486" spans="1:4">
      <c r="A486" s="34">
        <v>58016379</v>
      </c>
      <c r="B486" s="50" t="s">
        <v>272</v>
      </c>
      <c r="C486" s="50" t="s">
        <v>1168</v>
      </c>
      <c r="D486" s="24" t="s">
        <v>960</v>
      </c>
    </row>
    <row r="487" spans="1:4">
      <c r="A487" s="34">
        <v>58016380</v>
      </c>
      <c r="B487" s="50" t="s">
        <v>273</v>
      </c>
      <c r="C487" s="50" t="s">
        <v>1168</v>
      </c>
      <c r="D487" s="24" t="s">
        <v>960</v>
      </c>
    </row>
    <row r="488" spans="1:4">
      <c r="A488" s="34">
        <v>58028184</v>
      </c>
      <c r="B488" s="50" t="s">
        <v>434</v>
      </c>
      <c r="C488" s="50" t="s">
        <v>1271</v>
      </c>
      <c r="D488" s="24" t="s">
        <v>1400</v>
      </c>
    </row>
    <row r="489" spans="1:4">
      <c r="A489" s="34">
        <v>58028185</v>
      </c>
      <c r="B489" s="50" t="s">
        <v>435</v>
      </c>
      <c r="C489" s="50" t="s">
        <v>1272</v>
      </c>
      <c r="D489" s="24" t="s">
        <v>990</v>
      </c>
    </row>
    <row r="490" spans="1:4">
      <c r="A490" s="34">
        <v>58028186</v>
      </c>
      <c r="B490" s="50" t="s">
        <v>436</v>
      </c>
      <c r="C490" s="50" t="s">
        <v>1232</v>
      </c>
      <c r="D490" s="24" t="s">
        <v>1456</v>
      </c>
    </row>
    <row r="491" spans="1:4">
      <c r="A491" s="34">
        <v>58028187</v>
      </c>
      <c r="B491" s="50" t="s">
        <v>437</v>
      </c>
      <c r="C491" s="50" t="s">
        <v>1208</v>
      </c>
      <c r="D491" s="24" t="s">
        <v>1408</v>
      </c>
    </row>
    <row r="492" spans="1:4">
      <c r="A492" s="34">
        <v>58028188</v>
      </c>
      <c r="B492" s="50" t="s">
        <v>437</v>
      </c>
      <c r="C492" s="50" t="s">
        <v>1208</v>
      </c>
      <c r="D492" s="24" t="s">
        <v>1408</v>
      </c>
    </row>
    <row r="493" spans="1:4">
      <c r="A493" s="34">
        <v>58028189</v>
      </c>
      <c r="B493" s="50" t="s">
        <v>438</v>
      </c>
      <c r="C493" s="50" t="s">
        <v>1273</v>
      </c>
      <c r="D493" s="24" t="s">
        <v>966</v>
      </c>
    </row>
    <row r="494" spans="1:4">
      <c r="A494" s="34">
        <v>58028190</v>
      </c>
      <c r="B494" s="50" t="s">
        <v>439</v>
      </c>
      <c r="C494" s="50" t="s">
        <v>1274</v>
      </c>
      <c r="D494" s="24" t="s">
        <v>949</v>
      </c>
    </row>
    <row r="495" spans="1:4">
      <c r="A495" s="34">
        <v>58028191</v>
      </c>
      <c r="B495" s="50" t="s">
        <v>440</v>
      </c>
      <c r="C495" s="50" t="s">
        <v>1275</v>
      </c>
      <c r="D495" s="24" t="s">
        <v>1405</v>
      </c>
    </row>
    <row r="496" spans="1:4">
      <c r="A496" s="34">
        <v>58028192</v>
      </c>
      <c r="B496" s="50" t="s">
        <v>441</v>
      </c>
      <c r="C496" s="50" t="s">
        <v>1276</v>
      </c>
      <c r="D496" s="24" t="s">
        <v>925</v>
      </c>
    </row>
    <row r="497" spans="1:4">
      <c r="A497" s="34">
        <v>58028193</v>
      </c>
      <c r="B497" s="50" t="s">
        <v>442</v>
      </c>
      <c r="C497" s="50" t="s">
        <v>1277</v>
      </c>
      <c r="D497" s="24" t="s">
        <v>1373</v>
      </c>
    </row>
    <row r="498" spans="1:4">
      <c r="A498" s="34">
        <v>58028194</v>
      </c>
      <c r="B498" s="50" t="s">
        <v>443</v>
      </c>
      <c r="C498" s="50" t="s">
        <v>1278</v>
      </c>
      <c r="D498" s="24" t="s">
        <v>1374</v>
      </c>
    </row>
    <row r="499" spans="1:4">
      <c r="A499" s="34">
        <v>58028195</v>
      </c>
      <c r="B499" s="50" t="s">
        <v>444</v>
      </c>
      <c r="C499" s="50" t="s">
        <v>1279</v>
      </c>
      <c r="D499" s="24" t="s">
        <v>1374</v>
      </c>
    </row>
    <row r="500" spans="1:4">
      <c r="A500" s="34">
        <v>58028196</v>
      </c>
      <c r="B500" s="50" t="s">
        <v>445</v>
      </c>
      <c r="C500" s="50" t="s">
        <v>1278</v>
      </c>
      <c r="D500" s="24" t="s">
        <v>1374</v>
      </c>
    </row>
    <row r="501" spans="1:4">
      <c r="A501" s="34">
        <v>58028197</v>
      </c>
      <c r="B501" s="50" t="s">
        <v>446</v>
      </c>
      <c r="C501" s="50" t="s">
        <v>1088</v>
      </c>
      <c r="D501" s="24" t="s">
        <v>921</v>
      </c>
    </row>
    <row r="502" spans="1:4">
      <c r="A502" s="34">
        <v>58028198</v>
      </c>
      <c r="B502" s="50" t="s">
        <v>446</v>
      </c>
      <c r="C502" s="50" t="s">
        <v>1280</v>
      </c>
      <c r="D502" s="24" t="s">
        <v>921</v>
      </c>
    </row>
    <row r="503" spans="1:4">
      <c r="A503" s="34">
        <v>58028199</v>
      </c>
      <c r="B503" s="50" t="s">
        <v>447</v>
      </c>
      <c r="C503" s="50" t="s">
        <v>1280</v>
      </c>
      <c r="D503" s="24" t="s">
        <v>921</v>
      </c>
    </row>
    <row r="504" spans="1:4">
      <c r="A504" s="34">
        <v>58028200</v>
      </c>
      <c r="B504" s="50" t="s">
        <v>398</v>
      </c>
      <c r="C504" s="50" t="s">
        <v>1255</v>
      </c>
      <c r="D504" s="24" t="s">
        <v>1471</v>
      </c>
    </row>
    <row r="505" spans="1:4">
      <c r="A505" s="34">
        <v>58028201</v>
      </c>
      <c r="B505" s="50" t="s">
        <v>399</v>
      </c>
      <c r="C505" s="50" t="s">
        <v>1232</v>
      </c>
      <c r="D505" s="24" t="s">
        <v>1456</v>
      </c>
    </row>
    <row r="506" spans="1:4">
      <c r="A506" s="34">
        <v>58028202</v>
      </c>
      <c r="B506" s="50" t="s">
        <v>395</v>
      </c>
      <c r="C506" s="50" t="s">
        <v>1232</v>
      </c>
      <c r="D506" s="24" t="s">
        <v>1456</v>
      </c>
    </row>
    <row r="507" spans="1:4">
      <c r="A507" s="34">
        <v>58028203</v>
      </c>
      <c r="B507" s="50" t="s">
        <v>396</v>
      </c>
      <c r="C507" s="50" t="s">
        <v>1254</v>
      </c>
      <c r="D507" s="24" t="s">
        <v>1378</v>
      </c>
    </row>
    <row r="508" spans="1:4">
      <c r="A508" s="34">
        <v>58028204</v>
      </c>
      <c r="B508" s="50" t="s">
        <v>448</v>
      </c>
      <c r="C508" s="50" t="s">
        <v>1281</v>
      </c>
      <c r="D508" s="24" t="s">
        <v>1366</v>
      </c>
    </row>
    <row r="509" spans="1:4">
      <c r="A509" s="34">
        <v>58028205</v>
      </c>
      <c r="B509" s="50" t="s">
        <v>448</v>
      </c>
      <c r="C509" s="50" t="s">
        <v>1282</v>
      </c>
      <c r="D509" s="24" t="s">
        <v>1366</v>
      </c>
    </row>
    <row r="510" spans="1:4">
      <c r="A510" s="34">
        <v>58028206</v>
      </c>
      <c r="B510" s="50" t="s">
        <v>449</v>
      </c>
      <c r="C510" s="50" t="s">
        <v>1283</v>
      </c>
      <c r="D510" s="24" t="s">
        <v>921</v>
      </c>
    </row>
    <row r="511" spans="1:4">
      <c r="A511" s="34">
        <v>58028207</v>
      </c>
      <c r="B511" s="50" t="s">
        <v>450</v>
      </c>
      <c r="C511" s="50" t="s">
        <v>1284</v>
      </c>
      <c r="D511" s="24" t="s">
        <v>921</v>
      </c>
    </row>
    <row r="512" spans="1:4">
      <c r="A512" s="34">
        <v>58028208</v>
      </c>
      <c r="B512" s="50" t="s">
        <v>451</v>
      </c>
      <c r="C512" s="50" t="s">
        <v>1285</v>
      </c>
      <c r="D512" s="24" t="s">
        <v>921</v>
      </c>
    </row>
    <row r="513" spans="1:4">
      <c r="A513" s="34">
        <v>58028209</v>
      </c>
      <c r="B513" s="50" t="s">
        <v>452</v>
      </c>
      <c r="C513" s="50" t="s">
        <v>1286</v>
      </c>
      <c r="D513" s="24" t="s">
        <v>912</v>
      </c>
    </row>
    <row r="514" spans="1:4">
      <c r="A514" s="34">
        <v>58028210</v>
      </c>
      <c r="B514" s="50" t="s">
        <v>453</v>
      </c>
      <c r="C514" s="50" t="s">
        <v>1287</v>
      </c>
      <c r="D514" s="24" t="s">
        <v>921</v>
      </c>
    </row>
    <row r="515" spans="1:4">
      <c r="A515" s="34">
        <v>58028211</v>
      </c>
      <c r="B515" s="50" t="s">
        <v>454</v>
      </c>
      <c r="C515" s="50" t="s">
        <v>1187</v>
      </c>
      <c r="D515" s="24" t="s">
        <v>981</v>
      </c>
    </row>
    <row r="516" spans="1:4">
      <c r="A516" s="34">
        <v>58028212</v>
      </c>
      <c r="B516" s="50" t="s">
        <v>455</v>
      </c>
      <c r="C516" s="50" t="s">
        <v>1041</v>
      </c>
      <c r="D516" s="24" t="s">
        <v>936</v>
      </c>
    </row>
    <row r="517" spans="1:4">
      <c r="A517" s="34">
        <v>58028213</v>
      </c>
      <c r="B517" s="50" t="s">
        <v>456</v>
      </c>
      <c r="C517" s="50" t="s">
        <v>1288</v>
      </c>
      <c r="D517" s="24" t="s">
        <v>921</v>
      </c>
    </row>
    <row r="518" spans="1:4">
      <c r="A518" s="34">
        <v>58028214</v>
      </c>
      <c r="B518" s="50" t="s">
        <v>457</v>
      </c>
      <c r="C518" s="50" t="s">
        <v>1289</v>
      </c>
      <c r="D518" s="24" t="s">
        <v>921</v>
      </c>
    </row>
    <row r="519" spans="1:4">
      <c r="A519" s="34">
        <v>58028215</v>
      </c>
      <c r="B519" s="50" t="s">
        <v>458</v>
      </c>
      <c r="C519" s="50" t="s">
        <v>1290</v>
      </c>
      <c r="D519" s="24" t="s">
        <v>927</v>
      </c>
    </row>
    <row r="520" spans="1:4">
      <c r="A520" s="34">
        <v>58028216</v>
      </c>
      <c r="B520" s="50" t="s">
        <v>459</v>
      </c>
      <c r="C520" s="50" t="s">
        <v>1032</v>
      </c>
      <c r="D520" s="24" t="s">
        <v>962</v>
      </c>
    </row>
    <row r="521" spans="1:4">
      <c r="A521" s="34">
        <v>58028217</v>
      </c>
      <c r="B521" s="50" t="s">
        <v>458</v>
      </c>
      <c r="C521" s="50" t="s">
        <v>1032</v>
      </c>
      <c r="D521" s="24" t="s">
        <v>962</v>
      </c>
    </row>
    <row r="522" spans="1:4">
      <c r="A522" s="34">
        <v>58028218</v>
      </c>
      <c r="B522" s="50" t="s">
        <v>458</v>
      </c>
      <c r="C522" s="50" t="s">
        <v>1032</v>
      </c>
      <c r="D522" s="24" t="s">
        <v>962</v>
      </c>
    </row>
    <row r="523" spans="1:4">
      <c r="A523" s="34">
        <v>58028219</v>
      </c>
      <c r="B523" s="50" t="s">
        <v>460</v>
      </c>
      <c r="C523" s="50" t="s">
        <v>1291</v>
      </c>
      <c r="D523" s="24" t="s">
        <v>921</v>
      </c>
    </row>
    <row r="524" spans="1:4">
      <c r="A524" s="34">
        <v>58028220</v>
      </c>
      <c r="B524" s="50" t="s">
        <v>461</v>
      </c>
      <c r="C524" s="50" t="s">
        <v>1041</v>
      </c>
      <c r="D524" s="24" t="s">
        <v>936</v>
      </c>
    </row>
    <row r="525" spans="1:4">
      <c r="A525" s="34">
        <v>58028221</v>
      </c>
      <c r="B525" s="50" t="s">
        <v>462</v>
      </c>
      <c r="C525" s="50" t="s">
        <v>1041</v>
      </c>
      <c r="D525" s="24" t="s">
        <v>936</v>
      </c>
    </row>
    <row r="526" spans="1:4">
      <c r="A526" s="34">
        <v>58028222</v>
      </c>
      <c r="B526" s="50" t="s">
        <v>463</v>
      </c>
      <c r="C526" s="50" t="s">
        <v>1041</v>
      </c>
      <c r="D526" s="24" t="s">
        <v>936</v>
      </c>
    </row>
    <row r="527" spans="1:4">
      <c r="A527" s="34">
        <v>58028223</v>
      </c>
      <c r="B527" s="50" t="s">
        <v>464</v>
      </c>
      <c r="C527" s="50" t="s">
        <v>1020</v>
      </c>
      <c r="D527" s="24" t="s">
        <v>1367</v>
      </c>
    </row>
    <row r="528" spans="1:4">
      <c r="A528" s="34">
        <v>58028224</v>
      </c>
      <c r="B528" s="50" t="s">
        <v>465</v>
      </c>
      <c r="C528" s="50" t="s">
        <v>1285</v>
      </c>
      <c r="D528" s="24" t="s">
        <v>921</v>
      </c>
    </row>
    <row r="529" spans="1:4">
      <c r="A529" s="34">
        <v>58028225</v>
      </c>
      <c r="B529" s="50" t="s">
        <v>466</v>
      </c>
      <c r="C529" s="50" t="s">
        <v>1283</v>
      </c>
      <c r="D529" s="24" t="s">
        <v>921</v>
      </c>
    </row>
    <row r="530" spans="1:4">
      <c r="A530" s="34">
        <v>58028226</v>
      </c>
      <c r="B530" s="50" t="s">
        <v>467</v>
      </c>
      <c r="C530" s="50" t="s">
        <v>1287</v>
      </c>
      <c r="D530" s="24" t="s">
        <v>921</v>
      </c>
    </row>
    <row r="531" spans="1:4">
      <c r="A531" s="34">
        <v>58028227</v>
      </c>
      <c r="B531" s="50" t="s">
        <v>468</v>
      </c>
      <c r="C531" s="50" t="s">
        <v>1292</v>
      </c>
      <c r="D531" s="24" t="s">
        <v>921</v>
      </c>
    </row>
    <row r="532" spans="1:4">
      <c r="A532" s="34">
        <v>58028228</v>
      </c>
      <c r="B532" s="50" t="s">
        <v>469</v>
      </c>
      <c r="C532" s="50" t="s">
        <v>1292</v>
      </c>
      <c r="D532" s="24" t="s">
        <v>921</v>
      </c>
    </row>
    <row r="533" spans="1:4">
      <c r="A533" s="34">
        <v>58028229</v>
      </c>
      <c r="B533" s="50" t="s">
        <v>470</v>
      </c>
      <c r="C533" s="50" t="s">
        <v>1293</v>
      </c>
      <c r="D533" s="24" t="s">
        <v>921</v>
      </c>
    </row>
    <row r="534" spans="1:4">
      <c r="A534" s="34">
        <v>58028230</v>
      </c>
      <c r="B534" s="50" t="s">
        <v>471</v>
      </c>
      <c r="C534" s="50" t="s">
        <v>1292</v>
      </c>
      <c r="D534" s="24" t="s">
        <v>921</v>
      </c>
    </row>
    <row r="535" spans="1:4">
      <c r="A535" s="34">
        <v>58028231</v>
      </c>
      <c r="B535" s="50" t="s">
        <v>472</v>
      </c>
      <c r="C535" s="50" t="s">
        <v>1292</v>
      </c>
      <c r="D535" s="24" t="s">
        <v>921</v>
      </c>
    </row>
    <row r="536" spans="1:4">
      <c r="A536" s="34">
        <v>58028232</v>
      </c>
      <c r="B536" s="50" t="s">
        <v>473</v>
      </c>
      <c r="C536" s="50" t="s">
        <v>1293</v>
      </c>
      <c r="D536" s="24" t="s">
        <v>921</v>
      </c>
    </row>
    <row r="537" spans="1:4">
      <c r="A537" s="34">
        <v>58028233</v>
      </c>
      <c r="B537" s="50" t="s">
        <v>212</v>
      </c>
      <c r="C537" s="50" t="s">
        <v>1134</v>
      </c>
      <c r="D537" s="24" t="s">
        <v>921</v>
      </c>
    </row>
    <row r="538" spans="1:4">
      <c r="A538" s="34">
        <v>58028234</v>
      </c>
      <c r="B538" s="50" t="s">
        <v>474</v>
      </c>
      <c r="C538" s="50" t="s">
        <v>1020</v>
      </c>
      <c r="D538" s="24" t="s">
        <v>1367</v>
      </c>
    </row>
    <row r="539" spans="1:4">
      <c r="A539" s="34">
        <v>58028235</v>
      </c>
      <c r="B539" s="50" t="s">
        <v>475</v>
      </c>
      <c r="C539" s="50" t="s">
        <v>1020</v>
      </c>
      <c r="D539" s="24" t="s">
        <v>1367</v>
      </c>
    </row>
    <row r="540" spans="1:4">
      <c r="A540" s="34">
        <v>58028236</v>
      </c>
      <c r="B540" s="50" t="s">
        <v>476</v>
      </c>
      <c r="C540" s="50" t="s">
        <v>1206</v>
      </c>
      <c r="D540" s="24" t="s">
        <v>962</v>
      </c>
    </row>
    <row r="541" spans="1:4">
      <c r="A541" s="34">
        <v>58028237</v>
      </c>
      <c r="B541" s="50" t="s">
        <v>477</v>
      </c>
      <c r="C541" s="50" t="s">
        <v>1283</v>
      </c>
      <c r="D541" s="24" t="s">
        <v>921</v>
      </c>
    </row>
    <row r="542" spans="1:4">
      <c r="A542" s="34">
        <v>58028238</v>
      </c>
      <c r="B542" s="50" t="s">
        <v>478</v>
      </c>
      <c r="C542" s="50" t="s">
        <v>1280</v>
      </c>
      <c r="D542" s="24" t="s">
        <v>921</v>
      </c>
    </row>
    <row r="543" spans="1:4">
      <c r="A543" s="34">
        <v>58028239</v>
      </c>
      <c r="B543" s="50" t="s">
        <v>479</v>
      </c>
      <c r="C543" s="50" t="s">
        <v>1294</v>
      </c>
      <c r="D543" s="24" t="s">
        <v>1383</v>
      </c>
    </row>
    <row r="544" spans="1:4">
      <c r="A544" s="34">
        <v>58028240</v>
      </c>
      <c r="B544" s="50" t="s">
        <v>480</v>
      </c>
      <c r="C544" s="50" t="s">
        <v>1295</v>
      </c>
      <c r="D544" s="24" t="s">
        <v>912</v>
      </c>
    </row>
    <row r="545" spans="1:4">
      <c r="A545" s="34">
        <v>58028241</v>
      </c>
      <c r="B545" s="50" t="s">
        <v>481</v>
      </c>
      <c r="C545" s="50" t="s">
        <v>1203</v>
      </c>
      <c r="D545" s="24" t="s">
        <v>912</v>
      </c>
    </row>
    <row r="546" spans="1:4">
      <c r="A546" s="34">
        <v>58028242</v>
      </c>
      <c r="B546" s="50" t="s">
        <v>482</v>
      </c>
      <c r="C546" s="50" t="s">
        <v>1147</v>
      </c>
      <c r="D546" s="24" t="s">
        <v>933</v>
      </c>
    </row>
    <row r="547" spans="1:4">
      <c r="A547" s="34">
        <v>58028243</v>
      </c>
      <c r="B547" s="50" t="s">
        <v>483</v>
      </c>
      <c r="C547" s="50" t="s">
        <v>1128</v>
      </c>
      <c r="D547" s="24" t="s">
        <v>1444</v>
      </c>
    </row>
    <row r="548" spans="1:4">
      <c r="A548" s="34">
        <v>58028244</v>
      </c>
      <c r="B548" s="50" t="s">
        <v>483</v>
      </c>
      <c r="C548" s="50" t="s">
        <v>1128</v>
      </c>
      <c r="D548" s="24" t="s">
        <v>1444</v>
      </c>
    </row>
    <row r="549" spans="1:4">
      <c r="A549" s="34">
        <v>58028245</v>
      </c>
      <c r="B549" s="50" t="s">
        <v>483</v>
      </c>
      <c r="C549" s="50" t="s">
        <v>1128</v>
      </c>
      <c r="D549" s="24" t="s">
        <v>1444</v>
      </c>
    </row>
    <row r="550" spans="1:4">
      <c r="A550" s="34">
        <v>58028246</v>
      </c>
      <c r="B550" s="50" t="s">
        <v>484</v>
      </c>
      <c r="C550" s="50" t="s">
        <v>1130</v>
      </c>
      <c r="D550" s="24" t="s">
        <v>1383</v>
      </c>
    </row>
    <row r="551" spans="1:4">
      <c r="A551" s="34">
        <v>58028247</v>
      </c>
      <c r="B551" s="50" t="s">
        <v>485</v>
      </c>
      <c r="C551" s="50" t="s">
        <v>1296</v>
      </c>
      <c r="D551" s="24" t="s">
        <v>936</v>
      </c>
    </row>
    <row r="552" spans="1:4">
      <c r="A552" s="34">
        <v>58028248</v>
      </c>
      <c r="B552" s="50" t="s">
        <v>125</v>
      </c>
      <c r="C552" s="50" t="s">
        <v>1041</v>
      </c>
      <c r="D552" s="24" t="s">
        <v>936</v>
      </c>
    </row>
    <row r="553" spans="1:4">
      <c r="A553" s="34">
        <v>58028249</v>
      </c>
      <c r="B553" s="50" t="s">
        <v>486</v>
      </c>
      <c r="C553" s="50" t="s">
        <v>1297</v>
      </c>
      <c r="D553" s="24" t="s">
        <v>1370</v>
      </c>
    </row>
    <row r="554" spans="1:4">
      <c r="A554" s="34">
        <v>58028250</v>
      </c>
      <c r="B554" s="50" t="s">
        <v>487</v>
      </c>
      <c r="C554" s="50" t="s">
        <v>1298</v>
      </c>
      <c r="D554" s="24" t="s">
        <v>1370</v>
      </c>
    </row>
    <row r="555" spans="1:4">
      <c r="A555" s="34">
        <v>58028251</v>
      </c>
      <c r="B555" s="50" t="s">
        <v>488</v>
      </c>
      <c r="C555" s="50" t="s">
        <v>1299</v>
      </c>
      <c r="D555" s="24" t="s">
        <v>1383</v>
      </c>
    </row>
    <row r="556" spans="1:4">
      <c r="A556" s="34">
        <v>58028252</v>
      </c>
      <c r="B556" s="50" t="s">
        <v>489</v>
      </c>
      <c r="C556" s="50" t="s">
        <v>1292</v>
      </c>
      <c r="D556" s="24" t="s">
        <v>921</v>
      </c>
    </row>
    <row r="557" spans="1:4">
      <c r="A557" s="34">
        <v>58028253</v>
      </c>
      <c r="B557" s="50" t="s">
        <v>490</v>
      </c>
      <c r="C557" s="50" t="s">
        <v>1293</v>
      </c>
      <c r="D557" s="24" t="s">
        <v>921</v>
      </c>
    </row>
    <row r="558" spans="1:4">
      <c r="A558" s="34">
        <v>58028254</v>
      </c>
      <c r="B558" s="50" t="s">
        <v>491</v>
      </c>
      <c r="C558" s="50" t="s">
        <v>1283</v>
      </c>
      <c r="D558" s="24" t="s">
        <v>921</v>
      </c>
    </row>
    <row r="559" spans="1:4">
      <c r="A559" s="34">
        <v>58028255</v>
      </c>
      <c r="B559" s="50" t="s">
        <v>492</v>
      </c>
      <c r="C559" s="50" t="s">
        <v>1286</v>
      </c>
      <c r="D559" s="24" t="s">
        <v>912</v>
      </c>
    </row>
    <row r="560" spans="1:4">
      <c r="A560" s="34">
        <v>58029107</v>
      </c>
      <c r="B560" s="50" t="s">
        <v>493</v>
      </c>
      <c r="C560" s="50" t="s">
        <v>1300</v>
      </c>
      <c r="D560" s="24" t="s">
        <v>963</v>
      </c>
    </row>
    <row r="561" spans="1:4">
      <c r="A561" s="34">
        <v>58029108</v>
      </c>
      <c r="B561" s="50" t="s">
        <v>494</v>
      </c>
      <c r="C561" s="50" t="s">
        <v>1301</v>
      </c>
      <c r="D561" s="24" t="s">
        <v>1363</v>
      </c>
    </row>
    <row r="562" spans="1:4">
      <c r="A562" s="34">
        <v>58029109</v>
      </c>
      <c r="B562" s="50" t="s">
        <v>495</v>
      </c>
      <c r="C562" s="50" t="s">
        <v>1273</v>
      </c>
      <c r="D562" s="24" t="s">
        <v>966</v>
      </c>
    </row>
    <row r="563" spans="1:4">
      <c r="A563" s="34">
        <v>58029110</v>
      </c>
      <c r="B563" s="50" t="s">
        <v>496</v>
      </c>
      <c r="C563" s="50" t="s">
        <v>1039</v>
      </c>
      <c r="D563" s="24" t="s">
        <v>1432</v>
      </c>
    </row>
    <row r="564" spans="1:4">
      <c r="A564" s="34">
        <v>58029111</v>
      </c>
      <c r="B564" s="50" t="s">
        <v>497</v>
      </c>
      <c r="C564" s="50" t="s">
        <v>1302</v>
      </c>
      <c r="D564" s="24" t="s">
        <v>915</v>
      </c>
    </row>
    <row r="565" spans="1:4">
      <c r="A565" s="34">
        <v>58029112</v>
      </c>
      <c r="B565" s="50" t="s">
        <v>498</v>
      </c>
      <c r="C565" s="50" t="s">
        <v>1303</v>
      </c>
      <c r="D565" s="24" t="s">
        <v>1393</v>
      </c>
    </row>
    <row r="566" spans="1:4">
      <c r="A566" s="34">
        <v>58029113</v>
      </c>
      <c r="B566" s="50" t="s">
        <v>499</v>
      </c>
      <c r="C566" s="50" t="s">
        <v>1304</v>
      </c>
      <c r="D566" s="24" t="s">
        <v>1383</v>
      </c>
    </row>
    <row r="567" spans="1:4">
      <c r="A567" s="34">
        <v>58029114</v>
      </c>
      <c r="B567" s="50" t="s">
        <v>500</v>
      </c>
      <c r="C567" s="50" t="s">
        <v>1193</v>
      </c>
      <c r="D567" s="24" t="s">
        <v>1439</v>
      </c>
    </row>
    <row r="568" spans="1:4">
      <c r="A568" s="34">
        <v>58029115</v>
      </c>
      <c r="B568" s="50" t="s">
        <v>501</v>
      </c>
      <c r="C568" s="50" t="s">
        <v>1036</v>
      </c>
      <c r="D568" s="24" t="s">
        <v>989</v>
      </c>
    </row>
    <row r="569" spans="1:4">
      <c r="A569" s="34">
        <v>58029116</v>
      </c>
      <c r="B569" s="50" t="s">
        <v>502</v>
      </c>
      <c r="C569" s="50" t="s">
        <v>1305</v>
      </c>
      <c r="D569" s="24" t="s">
        <v>933</v>
      </c>
    </row>
    <row r="570" spans="1:4">
      <c r="A570" s="34">
        <v>58029117</v>
      </c>
      <c r="B570" s="50" t="s">
        <v>503</v>
      </c>
      <c r="C570" s="50" t="s">
        <v>1070</v>
      </c>
      <c r="D570" s="24" t="s">
        <v>1435</v>
      </c>
    </row>
    <row r="571" spans="1:4">
      <c r="A571" s="34">
        <v>58029118</v>
      </c>
      <c r="B571" s="50" t="s">
        <v>504</v>
      </c>
      <c r="C571" s="50" t="s">
        <v>1306</v>
      </c>
      <c r="D571" s="24" t="s">
        <v>1377</v>
      </c>
    </row>
    <row r="572" spans="1:4">
      <c r="A572" s="34">
        <v>58029119</v>
      </c>
      <c r="B572" s="50" t="s">
        <v>505</v>
      </c>
      <c r="C572" s="50" t="s">
        <v>1041</v>
      </c>
      <c r="D572" s="24" t="s">
        <v>936</v>
      </c>
    </row>
    <row r="573" spans="1:4">
      <c r="A573" s="34">
        <v>58029120</v>
      </c>
      <c r="B573" s="50" t="s">
        <v>506</v>
      </c>
      <c r="C573" s="50" t="s">
        <v>1213</v>
      </c>
      <c r="D573" s="24" t="s">
        <v>989</v>
      </c>
    </row>
    <row r="574" spans="1:4">
      <c r="A574" s="34">
        <v>58029121</v>
      </c>
      <c r="B574" s="50" t="s">
        <v>508</v>
      </c>
      <c r="C574" s="50" t="s">
        <v>1307</v>
      </c>
      <c r="D574" s="24" t="s">
        <v>972</v>
      </c>
    </row>
    <row r="575" spans="1:4">
      <c r="A575" s="34">
        <v>58029122</v>
      </c>
      <c r="B575" s="50" t="s">
        <v>509</v>
      </c>
      <c r="C575" s="50" t="s">
        <v>1107</v>
      </c>
      <c r="D575" s="24" t="s">
        <v>912</v>
      </c>
    </row>
    <row r="576" spans="1:4">
      <c r="A576" s="34">
        <v>58029123</v>
      </c>
      <c r="B576" s="50" t="s">
        <v>510</v>
      </c>
      <c r="C576" s="50" t="s">
        <v>1186</v>
      </c>
      <c r="D576" s="24" t="s">
        <v>979</v>
      </c>
    </row>
    <row r="577" spans="1:4">
      <c r="A577" s="34">
        <v>58029124</v>
      </c>
      <c r="B577" s="50" t="s">
        <v>507</v>
      </c>
      <c r="C577" s="50" t="s">
        <v>1213</v>
      </c>
      <c r="D577" s="24" t="s">
        <v>989</v>
      </c>
    </row>
    <row r="578" spans="1:4">
      <c r="A578" s="34">
        <v>58029125</v>
      </c>
      <c r="B578" s="50" t="s">
        <v>511</v>
      </c>
      <c r="C578" s="50" t="s">
        <v>1114</v>
      </c>
      <c r="D578" s="24" t="s">
        <v>1430</v>
      </c>
    </row>
    <row r="579" spans="1:4">
      <c r="A579" s="50" t="s">
        <v>512</v>
      </c>
      <c r="B579" s="50" t="s">
        <v>513</v>
      </c>
      <c r="C579" s="50" t="s">
        <v>1308</v>
      </c>
      <c r="D579" s="24" t="s">
        <v>1472</v>
      </c>
    </row>
    <row r="580" spans="1:4">
      <c r="A580" s="50" t="s">
        <v>514</v>
      </c>
      <c r="B580" s="50" t="s">
        <v>515</v>
      </c>
      <c r="C580" s="50" t="s">
        <v>1309</v>
      </c>
      <c r="D580" s="24" t="s">
        <v>1472</v>
      </c>
    </row>
    <row r="581" spans="1:4">
      <c r="A581" s="50" t="s">
        <v>516</v>
      </c>
      <c r="B581" s="50" t="s">
        <v>517</v>
      </c>
      <c r="C581" s="50" t="s">
        <v>1310</v>
      </c>
      <c r="D581" s="24" t="s">
        <v>1370</v>
      </c>
    </row>
    <row r="582" spans="1:4">
      <c r="A582" s="50" t="s">
        <v>518</v>
      </c>
      <c r="B582" s="50" t="s">
        <v>519</v>
      </c>
      <c r="C582" s="50" t="s">
        <v>1308</v>
      </c>
      <c r="D582" s="24" t="s">
        <v>1472</v>
      </c>
    </row>
    <row r="583" spans="1:4">
      <c r="A583" s="50" t="s">
        <v>520</v>
      </c>
      <c r="B583" s="50" t="s">
        <v>521</v>
      </c>
      <c r="C583" s="50" t="s">
        <v>1200</v>
      </c>
      <c r="D583" s="24" t="s">
        <v>962</v>
      </c>
    </row>
    <row r="584" spans="1:4">
      <c r="A584" s="50" t="s">
        <v>522</v>
      </c>
      <c r="B584" s="50" t="s">
        <v>523</v>
      </c>
      <c r="C584" s="50" t="s">
        <v>1311</v>
      </c>
      <c r="D584" s="24" t="s">
        <v>926</v>
      </c>
    </row>
    <row r="585" spans="1:4">
      <c r="A585" s="50" t="s">
        <v>524</v>
      </c>
      <c r="B585" s="50" t="s">
        <v>525</v>
      </c>
      <c r="C585" s="50" t="s">
        <v>1310</v>
      </c>
      <c r="D585" s="24" t="s">
        <v>1370</v>
      </c>
    </row>
    <row r="586" spans="1:4">
      <c r="A586" s="50" t="s">
        <v>526</v>
      </c>
      <c r="B586" s="50" t="s">
        <v>527</v>
      </c>
      <c r="C586" s="50" t="s">
        <v>1312</v>
      </c>
      <c r="D586" s="24" t="s">
        <v>1363</v>
      </c>
    </row>
    <row r="587" spans="1:4">
      <c r="A587" s="50" t="s">
        <v>528</v>
      </c>
      <c r="B587" s="50" t="s">
        <v>517</v>
      </c>
      <c r="C587" s="50" t="s">
        <v>1310</v>
      </c>
      <c r="D587" s="24" t="s">
        <v>1370</v>
      </c>
    </row>
    <row r="588" spans="1:4">
      <c r="A588" s="50" t="s">
        <v>529</v>
      </c>
      <c r="B588" s="50" t="s">
        <v>530</v>
      </c>
      <c r="C588" s="50" t="s">
        <v>1313</v>
      </c>
      <c r="D588" s="24" t="s">
        <v>1473</v>
      </c>
    </row>
    <row r="589" spans="1:4">
      <c r="A589" s="50" t="s">
        <v>531</v>
      </c>
      <c r="B589" s="50" t="s">
        <v>532</v>
      </c>
      <c r="C589" s="50" t="s">
        <v>1314</v>
      </c>
      <c r="D589" s="24" t="s">
        <v>1474</v>
      </c>
    </row>
    <row r="590" spans="1:4">
      <c r="A590" s="50" t="s">
        <v>533</v>
      </c>
      <c r="B590" s="50" t="s">
        <v>534</v>
      </c>
      <c r="C590" s="50" t="s">
        <v>1315</v>
      </c>
      <c r="D590" s="24" t="s">
        <v>1446</v>
      </c>
    </row>
    <row r="591" spans="1:4">
      <c r="A591" s="50" t="s">
        <v>535</v>
      </c>
      <c r="B591" s="50" t="s">
        <v>536</v>
      </c>
      <c r="C591" s="50"/>
      <c r="D591" s="24" t="s">
        <v>927</v>
      </c>
    </row>
    <row r="592" spans="1:4">
      <c r="A592" s="50" t="s">
        <v>537</v>
      </c>
      <c r="B592" s="50" t="s">
        <v>538</v>
      </c>
      <c r="C592" s="50" t="s">
        <v>1310</v>
      </c>
      <c r="D592" s="24" t="s">
        <v>1370</v>
      </c>
    </row>
    <row r="593" spans="1:4">
      <c r="A593" s="50" t="s">
        <v>539</v>
      </c>
      <c r="B593" s="50" t="s">
        <v>540</v>
      </c>
      <c r="C593" s="50" t="s">
        <v>1316</v>
      </c>
      <c r="D593" s="24" t="s">
        <v>1419</v>
      </c>
    </row>
    <row r="594" spans="1:4">
      <c r="A594" s="50" t="s">
        <v>541</v>
      </c>
      <c r="B594" s="50" t="s">
        <v>542</v>
      </c>
      <c r="C594" s="50" t="s">
        <v>1317</v>
      </c>
      <c r="D594" s="24" t="s">
        <v>990</v>
      </c>
    </row>
    <row r="595" spans="1:4">
      <c r="A595" s="50" t="s">
        <v>543</v>
      </c>
      <c r="B595" s="50" t="s">
        <v>544</v>
      </c>
      <c r="C595" s="50" t="s">
        <v>1318</v>
      </c>
      <c r="D595" s="24" t="s">
        <v>1475</v>
      </c>
    </row>
    <row r="596" spans="1:4">
      <c r="A596" s="50" t="s">
        <v>545</v>
      </c>
      <c r="B596" s="50" t="s">
        <v>546</v>
      </c>
      <c r="C596" s="50" t="s">
        <v>1319</v>
      </c>
      <c r="D596" s="24" t="s">
        <v>902</v>
      </c>
    </row>
    <row r="597" spans="1:4">
      <c r="A597" s="50" t="s">
        <v>547</v>
      </c>
      <c r="B597" s="50" t="s">
        <v>548</v>
      </c>
      <c r="C597" s="50" t="s">
        <v>1320</v>
      </c>
      <c r="D597" s="24" t="s">
        <v>962</v>
      </c>
    </row>
    <row r="598" spans="1:4">
      <c r="A598" s="50" t="s">
        <v>549</v>
      </c>
      <c r="B598" s="50" t="s">
        <v>550</v>
      </c>
      <c r="C598" s="50" t="s">
        <v>1321</v>
      </c>
      <c r="D598" s="24" t="s">
        <v>899</v>
      </c>
    </row>
    <row r="599" spans="1:4">
      <c r="A599" s="50" t="s">
        <v>551</v>
      </c>
      <c r="B599" s="50" t="s">
        <v>552</v>
      </c>
      <c r="C599" s="50" t="s">
        <v>1322</v>
      </c>
      <c r="D599" s="24" t="s">
        <v>1476</v>
      </c>
    </row>
    <row r="600" spans="1:4">
      <c r="A600" s="50" t="s">
        <v>553</v>
      </c>
      <c r="B600" s="50" t="s">
        <v>554</v>
      </c>
      <c r="C600" s="50" t="s">
        <v>1323</v>
      </c>
      <c r="D600" s="24" t="s">
        <v>1477</v>
      </c>
    </row>
    <row r="601" spans="1:4">
      <c r="A601" s="50" t="s">
        <v>555</v>
      </c>
      <c r="B601" s="50" t="s">
        <v>556</v>
      </c>
      <c r="C601" s="50" t="s">
        <v>1324</v>
      </c>
      <c r="D601" s="24" t="s">
        <v>1383</v>
      </c>
    </row>
    <row r="602" spans="1:4">
      <c r="A602" s="50" t="s">
        <v>557</v>
      </c>
      <c r="B602" s="50" t="s">
        <v>558</v>
      </c>
      <c r="C602" s="50" t="s">
        <v>1325</v>
      </c>
      <c r="D602" s="24" t="s">
        <v>1478</v>
      </c>
    </row>
    <row r="603" spans="1:4">
      <c r="A603" s="50" t="s">
        <v>559</v>
      </c>
      <c r="B603" s="50" t="s">
        <v>560</v>
      </c>
      <c r="C603" s="50" t="s">
        <v>1326</v>
      </c>
      <c r="D603" s="24" t="s">
        <v>1479</v>
      </c>
    </row>
    <row r="604" spans="1:4">
      <c r="A604" s="50" t="s">
        <v>561</v>
      </c>
      <c r="B604" s="50" t="s">
        <v>562</v>
      </c>
      <c r="C604" s="50" t="s">
        <v>1327</v>
      </c>
      <c r="D604" s="24" t="s">
        <v>929</v>
      </c>
    </row>
    <row r="605" spans="1:4">
      <c r="A605" s="50" t="s">
        <v>563</v>
      </c>
      <c r="B605" s="50" t="s">
        <v>564</v>
      </c>
      <c r="C605" s="50" t="s">
        <v>1328</v>
      </c>
      <c r="D605" s="24" t="s">
        <v>969</v>
      </c>
    </row>
    <row r="606" spans="1:4">
      <c r="A606" s="50" t="s">
        <v>565</v>
      </c>
      <c r="B606" s="50" t="s">
        <v>566</v>
      </c>
      <c r="C606" s="50" t="s">
        <v>1329</v>
      </c>
      <c r="D606" s="24" t="s">
        <v>1480</v>
      </c>
    </row>
    <row r="607" spans="1:4">
      <c r="A607" s="50" t="s">
        <v>567</v>
      </c>
      <c r="B607" s="50" t="s">
        <v>568</v>
      </c>
      <c r="C607" s="50" t="s">
        <v>1330</v>
      </c>
      <c r="D607" s="24" t="s">
        <v>1393</v>
      </c>
    </row>
    <row r="608" spans="1:4">
      <c r="A608" s="50" t="s">
        <v>569</v>
      </c>
      <c r="B608" s="50" t="s">
        <v>570</v>
      </c>
      <c r="C608" s="50" t="s">
        <v>1331</v>
      </c>
      <c r="D608" s="24" t="s">
        <v>915</v>
      </c>
    </row>
    <row r="609" spans="1:4">
      <c r="A609" s="50" t="s">
        <v>571</v>
      </c>
      <c r="B609" s="50" t="s">
        <v>572</v>
      </c>
      <c r="C609" s="50"/>
      <c r="D609" s="24" t="s">
        <v>1374</v>
      </c>
    </row>
    <row r="610" spans="1:4">
      <c r="A610" s="50" t="s">
        <v>573</v>
      </c>
      <c r="B610" s="50" t="s">
        <v>574</v>
      </c>
      <c r="C610" s="50" t="s">
        <v>1332</v>
      </c>
      <c r="D610" s="24" t="s">
        <v>1481</v>
      </c>
    </row>
    <row r="611" spans="1:4">
      <c r="A611" s="50" t="s">
        <v>575</v>
      </c>
      <c r="B611" s="50" t="s">
        <v>574</v>
      </c>
      <c r="C611" s="50" t="s">
        <v>1333</v>
      </c>
      <c r="D611" s="24" t="s">
        <v>1366</v>
      </c>
    </row>
    <row r="612" spans="1:4">
      <c r="A612" s="50" t="s">
        <v>576</v>
      </c>
      <c r="B612" s="50" t="s">
        <v>577</v>
      </c>
      <c r="C612" s="50" t="s">
        <v>1334</v>
      </c>
      <c r="D612" s="24" t="s">
        <v>1482</v>
      </c>
    </row>
    <row r="613" spans="1:4">
      <c r="A613" s="50" t="s">
        <v>578</v>
      </c>
      <c r="B613" s="50" t="s">
        <v>579</v>
      </c>
      <c r="C613" s="50" t="s">
        <v>1335</v>
      </c>
      <c r="D613" s="24" t="s">
        <v>1438</v>
      </c>
    </row>
    <row r="614" spans="1:4">
      <c r="A614" s="50" t="s">
        <v>580</v>
      </c>
      <c r="B614" s="50" t="s">
        <v>581</v>
      </c>
      <c r="C614" s="50" t="s">
        <v>1305</v>
      </c>
      <c r="D614" s="24" t="s">
        <v>933</v>
      </c>
    </row>
    <row r="615" spans="1:4">
      <c r="A615" s="50" t="s">
        <v>582</v>
      </c>
      <c r="B615" s="50" t="s">
        <v>583</v>
      </c>
      <c r="C615" s="50" t="s">
        <v>1277</v>
      </c>
      <c r="D615" s="24" t="s">
        <v>1373</v>
      </c>
    </row>
    <row r="616" spans="1:4">
      <c r="A616" s="50" t="s">
        <v>37</v>
      </c>
      <c r="B616" s="50" t="s">
        <v>38</v>
      </c>
      <c r="C616" s="50" t="s">
        <v>1336</v>
      </c>
      <c r="D616" s="24" t="s">
        <v>962</v>
      </c>
    </row>
    <row r="617" spans="1:4">
      <c r="A617" s="50" t="s">
        <v>584</v>
      </c>
      <c r="B617" s="50" t="s">
        <v>585</v>
      </c>
      <c r="C617" s="50" t="s">
        <v>1200</v>
      </c>
      <c r="D617" s="24" t="s">
        <v>962</v>
      </c>
    </row>
    <row r="618" spans="1:4">
      <c r="A618" s="50" t="s">
        <v>586</v>
      </c>
      <c r="B618" s="50" t="s">
        <v>587</v>
      </c>
      <c r="C618" s="50" t="s">
        <v>1337</v>
      </c>
      <c r="D618" s="24" t="s">
        <v>987</v>
      </c>
    </row>
    <row r="619" spans="1:4">
      <c r="A619" s="50" t="s">
        <v>588</v>
      </c>
      <c r="B619" s="50" t="s">
        <v>589</v>
      </c>
      <c r="C619" s="50" t="s">
        <v>981</v>
      </c>
      <c r="D619" s="24" t="s">
        <v>981</v>
      </c>
    </row>
    <row r="620" spans="1:4">
      <c r="A620" s="50" t="s">
        <v>1338</v>
      </c>
      <c r="B620" s="50" t="s">
        <v>1339</v>
      </c>
      <c r="C620" s="50" t="s">
        <v>1187</v>
      </c>
      <c r="D620" s="24" t="s">
        <v>981</v>
      </c>
    </row>
    <row r="621" spans="1:4">
      <c r="A621" s="50" t="s">
        <v>590</v>
      </c>
      <c r="B621" s="50" t="s">
        <v>591</v>
      </c>
      <c r="C621" s="50" t="s">
        <v>1340</v>
      </c>
      <c r="D621" s="24" t="s">
        <v>919</v>
      </c>
    </row>
    <row r="622" spans="1:4">
      <c r="A622" s="50" t="s">
        <v>592</v>
      </c>
      <c r="B622" s="50" t="s">
        <v>593</v>
      </c>
      <c r="C622" s="50" t="s">
        <v>1283</v>
      </c>
      <c r="D622" s="24" t="s">
        <v>921</v>
      </c>
    </row>
    <row r="623" spans="1:4">
      <c r="A623" s="50" t="s">
        <v>594</v>
      </c>
      <c r="B623" s="50" t="s">
        <v>595</v>
      </c>
      <c r="C623" s="50" t="s">
        <v>1341</v>
      </c>
      <c r="D623" s="24" t="s">
        <v>1483</v>
      </c>
    </row>
    <row r="624" spans="1:4">
      <c r="A624" s="50" t="s">
        <v>596</v>
      </c>
      <c r="B624" s="50" t="s">
        <v>597</v>
      </c>
      <c r="C624" s="50" t="s">
        <v>1342</v>
      </c>
      <c r="D624" s="24" t="s">
        <v>926</v>
      </c>
    </row>
    <row r="625" spans="1:4">
      <c r="A625" s="50" t="s">
        <v>598</v>
      </c>
      <c r="B625" s="50" t="s">
        <v>599</v>
      </c>
      <c r="C625" s="50" t="s">
        <v>1343</v>
      </c>
      <c r="D625" s="24" t="s">
        <v>1443</v>
      </c>
    </row>
    <row r="626" spans="1:4">
      <c r="A626" s="50" t="s">
        <v>600</v>
      </c>
      <c r="B626" s="50" t="s">
        <v>601</v>
      </c>
      <c r="C626" s="50" t="s">
        <v>1344</v>
      </c>
      <c r="D626" s="24" t="s">
        <v>1439</v>
      </c>
    </row>
    <row r="627" spans="1:4">
      <c r="A627" s="50" t="s">
        <v>602</v>
      </c>
      <c r="B627" s="50" t="s">
        <v>603</v>
      </c>
      <c r="C627" s="50" t="s">
        <v>1345</v>
      </c>
      <c r="D627" s="24" t="s">
        <v>1367</v>
      </c>
    </row>
    <row r="628" spans="1:4">
      <c r="A628" s="50" t="s">
        <v>604</v>
      </c>
      <c r="B628" s="50" t="s">
        <v>605</v>
      </c>
      <c r="C628" s="50"/>
      <c r="D628" s="24" t="s">
        <v>1367</v>
      </c>
    </row>
    <row r="629" spans="1:4">
      <c r="A629" s="50" t="s">
        <v>606</v>
      </c>
      <c r="B629" s="50" t="s">
        <v>607</v>
      </c>
      <c r="C629" s="50" t="s">
        <v>1346</v>
      </c>
      <c r="D629" s="24" t="s">
        <v>1371</v>
      </c>
    </row>
    <row r="630" spans="1:4">
      <c r="A630" s="50" t="s">
        <v>608</v>
      </c>
      <c r="B630" s="50" t="s">
        <v>542</v>
      </c>
      <c r="C630" s="50" t="s">
        <v>1347</v>
      </c>
      <c r="D630" s="24" t="s">
        <v>1435</v>
      </c>
    </row>
    <row r="631" spans="1:4">
      <c r="A631" s="50" t="s">
        <v>609</v>
      </c>
      <c r="B631" s="50" t="s">
        <v>610</v>
      </c>
      <c r="C631" s="50" t="s">
        <v>1348</v>
      </c>
      <c r="D631" s="24" t="s">
        <v>1484</v>
      </c>
    </row>
    <row r="632" spans="1:4">
      <c r="A632" s="50" t="s">
        <v>611</v>
      </c>
      <c r="B632" s="50" t="s">
        <v>591</v>
      </c>
      <c r="C632" s="50" t="s">
        <v>1349</v>
      </c>
      <c r="D632" s="24" t="s">
        <v>1485</v>
      </c>
    </row>
    <row r="633" spans="1:4">
      <c r="A633" s="50" t="s">
        <v>612</v>
      </c>
      <c r="B633" s="50" t="s">
        <v>613</v>
      </c>
      <c r="C633" s="50" t="s">
        <v>1350</v>
      </c>
      <c r="D633" s="24" t="s">
        <v>1486</v>
      </c>
    </row>
    <row r="634" spans="1:4">
      <c r="A634" s="50" t="s">
        <v>614</v>
      </c>
      <c r="B634" s="50" t="s">
        <v>615</v>
      </c>
      <c r="C634" s="50" t="s">
        <v>1128</v>
      </c>
      <c r="D634" s="24" t="s">
        <v>1444</v>
      </c>
    </row>
    <row r="635" spans="1:4">
      <c r="A635" s="50" t="s">
        <v>616</v>
      </c>
      <c r="B635" s="50" t="s">
        <v>617</v>
      </c>
      <c r="C635" s="50" t="s">
        <v>1351</v>
      </c>
      <c r="D635" s="24" t="s">
        <v>1487</v>
      </c>
    </row>
    <row r="636" spans="1:4">
      <c r="A636" s="50" t="s">
        <v>618</v>
      </c>
      <c r="B636" s="50" t="s">
        <v>49</v>
      </c>
      <c r="C636" s="50" t="s">
        <v>1352</v>
      </c>
      <c r="D636" s="24" t="s">
        <v>963</v>
      </c>
    </row>
    <row r="637" spans="1:4">
      <c r="A637" s="50" t="s">
        <v>619</v>
      </c>
      <c r="B637" s="50" t="s">
        <v>620</v>
      </c>
      <c r="C637" s="50"/>
      <c r="D637" s="24" t="s">
        <v>921</v>
      </c>
    </row>
    <row r="638" spans="1:4">
      <c r="A638" s="50" t="s">
        <v>621</v>
      </c>
      <c r="B638" s="50" t="s">
        <v>622</v>
      </c>
      <c r="C638" s="50" t="s">
        <v>1353</v>
      </c>
      <c r="D638" s="24" t="s">
        <v>912</v>
      </c>
    </row>
    <row r="639" spans="1:4">
      <c r="A639" s="50" t="s">
        <v>623</v>
      </c>
      <c r="B639" s="50" t="s">
        <v>624</v>
      </c>
      <c r="C639" s="50" t="s">
        <v>1354</v>
      </c>
      <c r="D639" s="24" t="s">
        <v>1488</v>
      </c>
    </row>
    <row r="640" spans="1:4">
      <c r="A640" s="50" t="s">
        <v>1355</v>
      </c>
      <c r="B640" s="50" t="s">
        <v>1356</v>
      </c>
      <c r="C640" s="50"/>
      <c r="D640" s="24" t="s">
        <v>972</v>
      </c>
    </row>
    <row r="641" spans="1:4">
      <c r="A641" s="50" t="s">
        <v>625</v>
      </c>
      <c r="B641" s="50" t="s">
        <v>626</v>
      </c>
      <c r="C641" s="50" t="s">
        <v>1357</v>
      </c>
      <c r="D641" s="24" t="s">
        <v>1489</v>
      </c>
    </row>
    <row r="642" spans="1:4">
      <c r="A642" s="50" t="s">
        <v>627</v>
      </c>
      <c r="B642" s="50" t="s">
        <v>626</v>
      </c>
      <c r="C642" s="50" t="s">
        <v>1358</v>
      </c>
      <c r="D642" s="24" t="s">
        <v>1490</v>
      </c>
    </row>
    <row r="643" spans="1:4">
      <c r="A643" s="50" t="s">
        <v>628</v>
      </c>
      <c r="B643" s="50" t="s">
        <v>530</v>
      </c>
      <c r="C643" s="50" t="s">
        <v>1313</v>
      </c>
      <c r="D643" s="24" t="s">
        <v>1473</v>
      </c>
    </row>
    <row r="644" spans="1:4">
      <c r="A644" s="50" t="s">
        <v>629</v>
      </c>
      <c r="B644" s="50" t="s">
        <v>530</v>
      </c>
      <c r="C644" s="50" t="s">
        <v>1313</v>
      </c>
      <c r="D644" s="24" t="s">
        <v>1473</v>
      </c>
    </row>
    <row r="645" spans="1:4">
      <c r="A645" s="50" t="s">
        <v>630</v>
      </c>
      <c r="B645" s="50" t="s">
        <v>513</v>
      </c>
      <c r="C645" s="50" t="s">
        <v>1308</v>
      </c>
      <c r="D645" s="24" t="s">
        <v>1472</v>
      </c>
    </row>
    <row r="646" spans="1:4">
      <c r="A646" s="50" t="s">
        <v>631</v>
      </c>
      <c r="B646" s="50" t="s">
        <v>515</v>
      </c>
      <c r="C646" s="50" t="s">
        <v>1309</v>
      </c>
      <c r="D646" s="24" t="s">
        <v>1472</v>
      </c>
    </row>
    <row r="647" spans="1:4">
      <c r="A647" s="50" t="s">
        <v>632</v>
      </c>
      <c r="B647" s="50" t="s">
        <v>519</v>
      </c>
      <c r="C647" s="50" t="s">
        <v>1308</v>
      </c>
      <c r="D647" s="24" t="s">
        <v>1472</v>
      </c>
    </row>
    <row r="648" spans="1:4">
      <c r="A648" s="50" t="s">
        <v>633</v>
      </c>
      <c r="B648" s="50" t="s">
        <v>517</v>
      </c>
      <c r="C648" s="50" t="s">
        <v>1310</v>
      </c>
      <c r="D648" s="24" t="s">
        <v>1370</v>
      </c>
    </row>
    <row r="649" spans="1:4">
      <c r="A649" s="50" t="s">
        <v>634</v>
      </c>
      <c r="B649" s="50" t="s">
        <v>517</v>
      </c>
      <c r="C649" s="50" t="s">
        <v>1310</v>
      </c>
      <c r="D649" s="24" t="s">
        <v>1370</v>
      </c>
    </row>
    <row r="650" spans="1:4">
      <c r="A650" s="50" t="s">
        <v>635</v>
      </c>
      <c r="B650" s="50" t="s">
        <v>517</v>
      </c>
      <c r="C650" s="50" t="s">
        <v>1310</v>
      </c>
      <c r="D650" s="24" t="s">
        <v>1370</v>
      </c>
    </row>
    <row r="651" spans="1:4">
      <c r="A651" s="50" t="s">
        <v>1359</v>
      </c>
      <c r="B651" s="50" t="s">
        <v>38</v>
      </c>
      <c r="C651" s="50" t="s">
        <v>1336</v>
      </c>
      <c r="D651" s="24" t="s">
        <v>981</v>
      </c>
    </row>
    <row r="652" spans="1:4">
      <c r="A652" s="50" t="s">
        <v>636</v>
      </c>
      <c r="B652" s="50" t="s">
        <v>523</v>
      </c>
      <c r="C652" s="50" t="s">
        <v>1311</v>
      </c>
      <c r="D652" s="24" t="s">
        <v>926</v>
      </c>
    </row>
    <row r="653" spans="1:4">
      <c r="A653" s="50" t="s">
        <v>637</v>
      </c>
      <c r="B653" s="50" t="s">
        <v>585</v>
      </c>
      <c r="C653" s="50" t="s">
        <v>1200</v>
      </c>
      <c r="D653" s="24" t="s">
        <v>926</v>
      </c>
    </row>
    <row r="654" spans="1:4">
      <c r="A654" s="50" t="s">
        <v>638</v>
      </c>
      <c r="B654" s="50" t="s">
        <v>585</v>
      </c>
      <c r="C654" s="50" t="s">
        <v>1200</v>
      </c>
      <c r="D654" s="24" t="s">
        <v>926</v>
      </c>
    </row>
    <row r="655" spans="1:4">
      <c r="A655" s="50" t="s">
        <v>639</v>
      </c>
      <c r="B655" s="50" t="s">
        <v>562</v>
      </c>
      <c r="C655" s="50" t="s">
        <v>1327</v>
      </c>
      <c r="D655" s="24" t="s">
        <v>929</v>
      </c>
    </row>
    <row r="656" spans="1:4">
      <c r="A656" s="50" t="s">
        <v>640</v>
      </c>
      <c r="B656" s="50" t="s">
        <v>562</v>
      </c>
      <c r="C656" s="50" t="s">
        <v>1327</v>
      </c>
      <c r="D656" s="24" t="s">
        <v>929</v>
      </c>
    </row>
    <row r="657" spans="1:4">
      <c r="A657" s="50" t="s">
        <v>641</v>
      </c>
      <c r="B657" s="50" t="s">
        <v>562</v>
      </c>
      <c r="C657" s="50" t="s">
        <v>1327</v>
      </c>
      <c r="D657" s="24" t="s">
        <v>929</v>
      </c>
    </row>
    <row r="658" spans="1:4">
      <c r="A658" s="50" t="s">
        <v>642</v>
      </c>
      <c r="B658" s="50" t="s">
        <v>570</v>
      </c>
      <c r="C658" s="50" t="s">
        <v>1331</v>
      </c>
      <c r="D658" s="24" t="s">
        <v>915</v>
      </c>
    </row>
    <row r="659" spans="1:4">
      <c r="A659" s="50" t="s">
        <v>643</v>
      </c>
      <c r="B659" s="50" t="s">
        <v>570</v>
      </c>
      <c r="C659" s="50" t="s">
        <v>1331</v>
      </c>
      <c r="D659" s="24" t="s">
        <v>915</v>
      </c>
    </row>
    <row r="660" spans="1:4">
      <c r="A660" s="50" t="s">
        <v>39</v>
      </c>
      <c r="B660" s="50" t="s">
        <v>38</v>
      </c>
      <c r="C660" s="50" t="s">
        <v>1336</v>
      </c>
      <c r="D660" s="24" t="s">
        <v>962</v>
      </c>
    </row>
    <row r="661" spans="1:4">
      <c r="A661" s="50" t="s">
        <v>40</v>
      </c>
      <c r="B661" s="50" t="s">
        <v>41</v>
      </c>
      <c r="C661" s="50" t="s">
        <v>1360</v>
      </c>
      <c r="D661" s="24" t="s">
        <v>915</v>
      </c>
    </row>
    <row r="662" spans="1:4">
      <c r="A662" s="50" t="s">
        <v>1361</v>
      </c>
      <c r="B662" s="50" t="s">
        <v>38</v>
      </c>
      <c r="C662" s="50" t="s">
        <v>1336</v>
      </c>
      <c r="D662" s="24" t="s">
        <v>1480</v>
      </c>
    </row>
    <row r="663" spans="1:4">
      <c r="A663" s="50" t="s">
        <v>644</v>
      </c>
      <c r="B663" s="50" t="s">
        <v>38</v>
      </c>
      <c r="C663" s="50" t="s">
        <v>1336</v>
      </c>
      <c r="D663" s="24" t="s">
        <v>990</v>
      </c>
    </row>
    <row r="664" spans="1:4">
      <c r="A664" s="50" t="s">
        <v>645</v>
      </c>
      <c r="B664" s="50" t="s">
        <v>38</v>
      </c>
      <c r="C664" s="50" t="s">
        <v>1336</v>
      </c>
      <c r="D664" s="24" t="s">
        <v>929</v>
      </c>
    </row>
    <row r="665" spans="1:4">
      <c r="A665" s="50" t="s">
        <v>50</v>
      </c>
      <c r="B665" s="50" t="s">
        <v>38</v>
      </c>
      <c r="C665" s="50" t="s">
        <v>1336</v>
      </c>
      <c r="D665" s="24" t="s">
        <v>962</v>
      </c>
    </row>
    <row r="666" spans="1:4">
      <c r="A666" s="50" t="s">
        <v>646</v>
      </c>
      <c r="B666" s="50" t="s">
        <v>38</v>
      </c>
      <c r="C666" s="50" t="s">
        <v>1336</v>
      </c>
      <c r="D666" s="24" t="s">
        <v>962</v>
      </c>
    </row>
    <row r="667" spans="1:4">
      <c r="A667" s="50" t="s">
        <v>647</v>
      </c>
      <c r="B667" s="50" t="s">
        <v>38</v>
      </c>
      <c r="C667" s="50" t="s">
        <v>1336</v>
      </c>
      <c r="D667" s="24" t="s">
        <v>962</v>
      </c>
    </row>
    <row r="668" spans="1:4">
      <c r="A668" s="50" t="s">
        <v>648</v>
      </c>
      <c r="B668" s="50" t="s">
        <v>38</v>
      </c>
      <c r="C668" s="50" t="s">
        <v>1336</v>
      </c>
      <c r="D668" s="24" t="s">
        <v>962</v>
      </c>
    </row>
    <row r="669" spans="1:4">
      <c r="A669" s="50" t="s">
        <v>649</v>
      </c>
      <c r="B669" s="50" t="s">
        <v>521</v>
      </c>
      <c r="C669" s="50" t="s">
        <v>1200</v>
      </c>
      <c r="D669" s="24" t="s">
        <v>962</v>
      </c>
    </row>
    <row r="670" spans="1:4">
      <c r="A670" s="50" t="s">
        <v>650</v>
      </c>
      <c r="B670" s="50" t="s">
        <v>521</v>
      </c>
      <c r="C670" s="50" t="s">
        <v>1200</v>
      </c>
      <c r="D670" s="24" t="s">
        <v>962</v>
      </c>
    </row>
    <row r="671" spans="1:4">
      <c r="A671" s="50" t="s">
        <v>651</v>
      </c>
      <c r="B671" s="50" t="s">
        <v>521</v>
      </c>
      <c r="C671" s="50" t="s">
        <v>1200</v>
      </c>
      <c r="D671" s="24" t="s">
        <v>962</v>
      </c>
    </row>
    <row r="672" spans="1:4">
      <c r="A672" s="50" t="s">
        <v>652</v>
      </c>
      <c r="B672" s="50" t="s">
        <v>521</v>
      </c>
      <c r="C672" s="50" t="s">
        <v>1200</v>
      </c>
      <c r="D672" s="24" t="s">
        <v>962</v>
      </c>
    </row>
    <row r="673" spans="1:4">
      <c r="A673" s="50" t="s">
        <v>653</v>
      </c>
      <c r="B673" s="50" t="s">
        <v>521</v>
      </c>
      <c r="C673" s="50" t="s">
        <v>1200</v>
      </c>
      <c r="D673" s="24" t="s">
        <v>962</v>
      </c>
    </row>
    <row r="674" spans="1:4">
      <c r="A674" s="50" t="s">
        <v>1362</v>
      </c>
      <c r="B674" s="50" t="s">
        <v>38</v>
      </c>
      <c r="C674" s="50" t="s">
        <v>1336</v>
      </c>
      <c r="D674" s="24" t="s">
        <v>963</v>
      </c>
    </row>
    <row r="675" spans="1:4">
      <c r="A675" s="50" t="s">
        <v>51</v>
      </c>
      <c r="B675" s="50" t="s">
        <v>38</v>
      </c>
      <c r="C675" s="50" t="s">
        <v>1336</v>
      </c>
      <c r="D675" s="24" t="s">
        <v>990</v>
      </c>
    </row>
    <row r="676" spans="1:4">
      <c r="A676" s="50" t="s">
        <v>654</v>
      </c>
      <c r="B676" s="50" t="s">
        <v>38</v>
      </c>
      <c r="C676" s="50" t="s">
        <v>1336</v>
      </c>
      <c r="D676" s="24" t="s">
        <v>990</v>
      </c>
    </row>
    <row r="677" spans="1:4">
      <c r="A677" s="50" t="s">
        <v>655</v>
      </c>
      <c r="B677" s="50" t="s">
        <v>38</v>
      </c>
      <c r="C677" s="50" t="s">
        <v>1336</v>
      </c>
      <c r="D677" s="24" t="s">
        <v>926</v>
      </c>
    </row>
    <row r="678" spans="1:4">
      <c r="A678" s="50" t="s">
        <v>656</v>
      </c>
      <c r="B678" s="50" t="s">
        <v>38</v>
      </c>
      <c r="C678" s="50" t="s">
        <v>1336</v>
      </c>
      <c r="D678" s="24" t="s">
        <v>912</v>
      </c>
    </row>
    <row r="679" spans="1:4">
      <c r="A679" s="50" t="s">
        <v>657</v>
      </c>
      <c r="B679" s="50" t="s">
        <v>38</v>
      </c>
      <c r="C679" s="50" t="s">
        <v>1336</v>
      </c>
      <c r="D679" s="24" t="s">
        <v>990</v>
      </c>
    </row>
    <row r="680" spans="1:4">
      <c r="A680" s="50" t="s">
        <v>658</v>
      </c>
      <c r="B680" s="50" t="s">
        <v>38</v>
      </c>
      <c r="C680" s="50" t="s">
        <v>1336</v>
      </c>
      <c r="D680" s="24" t="s">
        <v>929</v>
      </c>
    </row>
    <row r="681" spans="1:4">
      <c r="A681" s="50" t="s">
        <v>659</v>
      </c>
      <c r="B681" s="50" t="s">
        <v>38</v>
      </c>
      <c r="C681" s="50" t="s">
        <v>1336</v>
      </c>
      <c r="D681" s="24" t="s">
        <v>1419</v>
      </c>
    </row>
    <row r="682" spans="1:4">
      <c r="A682" s="50" t="s">
        <v>660</v>
      </c>
      <c r="B682" s="50" t="s">
        <v>38</v>
      </c>
      <c r="C682" s="50" t="s">
        <v>1336</v>
      </c>
      <c r="D682" s="24" t="s">
        <v>1370</v>
      </c>
    </row>
    <row r="683" spans="1:4">
      <c r="A683" s="50" t="s">
        <v>661</v>
      </c>
      <c r="B683" s="50" t="s">
        <v>38</v>
      </c>
      <c r="C683" s="50" t="s">
        <v>1336</v>
      </c>
      <c r="D683" s="24" t="s">
        <v>915</v>
      </c>
    </row>
    <row r="684" spans="1:4">
      <c r="A684" s="50" t="s">
        <v>662</v>
      </c>
      <c r="B684" s="50" t="s">
        <v>521</v>
      </c>
      <c r="C684" s="50" t="s">
        <v>1200</v>
      </c>
      <c r="D684" s="24" t="s">
        <v>915</v>
      </c>
    </row>
    <row r="685" spans="1:4">
      <c r="A685" s="50" t="s">
        <v>663</v>
      </c>
      <c r="B685" s="50" t="s">
        <v>556</v>
      </c>
      <c r="C685" s="50" t="s">
        <v>1324</v>
      </c>
      <c r="D685" s="24" t="s">
        <v>1383</v>
      </c>
    </row>
    <row r="686" spans="1:4">
      <c r="A686" s="50" t="s">
        <v>664</v>
      </c>
      <c r="B686" s="50" t="s">
        <v>556</v>
      </c>
      <c r="C686" s="50" t="s">
        <v>1324</v>
      </c>
      <c r="D686" s="24" t="s">
        <v>1383</v>
      </c>
    </row>
    <row r="687" spans="1:4">
      <c r="A687" s="50" t="s">
        <v>665</v>
      </c>
      <c r="B687" s="50" t="s">
        <v>552</v>
      </c>
      <c r="C687" s="50" t="s">
        <v>1322</v>
      </c>
      <c r="D687" s="24" t="s">
        <v>1476</v>
      </c>
    </row>
    <row r="688" spans="1:4">
      <c r="A688" s="50" t="s">
        <v>666</v>
      </c>
      <c r="B688" s="50" t="s">
        <v>552</v>
      </c>
      <c r="C688" s="50" t="s">
        <v>1322</v>
      </c>
      <c r="D688" s="24" t="s">
        <v>1476</v>
      </c>
    </row>
    <row r="689" spans="1:4">
      <c r="A689" s="50" t="s">
        <v>667</v>
      </c>
      <c r="B689" s="50" t="s">
        <v>597</v>
      </c>
      <c r="C689" s="50" t="s">
        <v>1342</v>
      </c>
      <c r="D689" s="24" t="s">
        <v>926</v>
      </c>
    </row>
    <row r="690" spans="1:4">
      <c r="A690" s="50" t="s">
        <v>668</v>
      </c>
      <c r="B690" s="50" t="s">
        <v>597</v>
      </c>
      <c r="C690" s="50" t="s">
        <v>1342</v>
      </c>
      <c r="D690" s="24" t="s">
        <v>926</v>
      </c>
    </row>
    <row r="691" spans="1:4">
      <c r="A691" s="50" t="s">
        <v>669</v>
      </c>
      <c r="B691" s="50" t="s">
        <v>548</v>
      </c>
      <c r="C691" s="50" t="s">
        <v>1320</v>
      </c>
      <c r="D691" s="24" t="s">
        <v>962</v>
      </c>
    </row>
    <row r="692" spans="1:4">
      <c r="A692" s="50" t="s">
        <v>670</v>
      </c>
      <c r="B692" s="50" t="s">
        <v>550</v>
      </c>
      <c r="C692" s="50" t="s">
        <v>1321</v>
      </c>
      <c r="D692" s="24" t="s">
        <v>899</v>
      </c>
    </row>
    <row r="693" spans="1:4">
      <c r="A693" s="50" t="s">
        <v>671</v>
      </c>
      <c r="B693" s="50" t="s">
        <v>626</v>
      </c>
      <c r="C693" s="50" t="s">
        <v>1358</v>
      </c>
      <c r="D693" s="24" t="s">
        <v>1490</v>
      </c>
    </row>
    <row r="694" spans="1:4">
      <c r="A694" s="50" t="s">
        <v>672</v>
      </c>
      <c r="B694" s="50" t="s">
        <v>626</v>
      </c>
      <c r="C694" s="50" t="s">
        <v>1358</v>
      </c>
      <c r="D694" s="24" t="s">
        <v>1490</v>
      </c>
    </row>
    <row r="695" spans="1:4">
      <c r="A695" s="50" t="s">
        <v>673</v>
      </c>
      <c r="B695" s="50" t="s">
        <v>626</v>
      </c>
      <c r="C695" s="50" t="s">
        <v>1357</v>
      </c>
      <c r="D695" s="24" t="s">
        <v>1489</v>
      </c>
    </row>
    <row r="696" spans="1:4">
      <c r="A696" s="50" t="s">
        <v>674</v>
      </c>
      <c r="B696" s="50" t="s">
        <v>626</v>
      </c>
      <c r="C696" s="50" t="s">
        <v>1357</v>
      </c>
      <c r="D696" s="24" t="s">
        <v>1489</v>
      </c>
    </row>
    <row r="697" spans="1:4">
      <c r="A697" s="50" t="s">
        <v>675</v>
      </c>
      <c r="B697" s="50" t="s">
        <v>603</v>
      </c>
      <c r="C697" s="50" t="s">
        <v>1345</v>
      </c>
      <c r="D697" s="24" t="s">
        <v>1367</v>
      </c>
    </row>
    <row r="698" spans="1:4">
      <c r="A698" s="50" t="s">
        <v>676</v>
      </c>
      <c r="B698" s="50" t="s">
        <v>554</v>
      </c>
      <c r="C698" s="50" t="s">
        <v>1323</v>
      </c>
      <c r="D698" s="24" t="s">
        <v>1477</v>
      </c>
    </row>
    <row r="699" spans="1:4">
      <c r="A699" s="50" t="s">
        <v>677</v>
      </c>
      <c r="B699" s="50" t="s">
        <v>562</v>
      </c>
      <c r="C699" s="50" t="s">
        <v>1327</v>
      </c>
      <c r="D699" s="24" t="s">
        <v>929</v>
      </c>
    </row>
    <row r="700" spans="1:4">
      <c r="A700" s="50" t="s">
        <v>678</v>
      </c>
      <c r="B700" s="50" t="s">
        <v>562</v>
      </c>
      <c r="C700" s="50" t="s">
        <v>1327</v>
      </c>
      <c r="D700" s="24" t="s">
        <v>929</v>
      </c>
    </row>
    <row r="701" spans="1:4">
      <c r="A701" s="50" t="s">
        <v>679</v>
      </c>
      <c r="B701" s="50" t="s">
        <v>564</v>
      </c>
      <c r="C701" s="50" t="s">
        <v>1328</v>
      </c>
      <c r="D701" s="24" t="s">
        <v>969</v>
      </c>
    </row>
    <row r="702" spans="1:4">
      <c r="A702" s="50" t="s">
        <v>680</v>
      </c>
      <c r="B702" s="50" t="s">
        <v>601</v>
      </c>
      <c r="C702" s="50" t="s">
        <v>1344</v>
      </c>
      <c r="D702" s="24" t="s">
        <v>1439</v>
      </c>
    </row>
    <row r="703" spans="1:4">
      <c r="A703" s="50" t="s">
        <v>681</v>
      </c>
      <c r="B703" s="50" t="s">
        <v>540</v>
      </c>
      <c r="C703" s="50" t="s">
        <v>1316</v>
      </c>
      <c r="D703" s="24" t="s">
        <v>1419</v>
      </c>
    </row>
    <row r="704" spans="1:4">
      <c r="A704" s="50" t="s">
        <v>682</v>
      </c>
      <c r="B704" s="50" t="s">
        <v>624</v>
      </c>
      <c r="C704" s="50" t="s">
        <v>1354</v>
      </c>
      <c r="D704" s="24" t="s">
        <v>1488</v>
      </c>
    </row>
    <row r="705" spans="1:4">
      <c r="A705" s="50" t="s">
        <v>683</v>
      </c>
      <c r="B705" s="50" t="s">
        <v>546</v>
      </c>
      <c r="C705" s="50" t="s">
        <v>1319</v>
      </c>
      <c r="D705" s="24" t="s">
        <v>902</v>
      </c>
    </row>
    <row r="706" spans="1:4">
      <c r="A706" s="50" t="s">
        <v>684</v>
      </c>
      <c r="B706" s="50" t="s">
        <v>617</v>
      </c>
      <c r="C706" s="50" t="s">
        <v>1351</v>
      </c>
      <c r="D706" s="24" t="s">
        <v>1487</v>
      </c>
    </row>
    <row r="707" spans="1:4">
      <c r="A707" s="50" t="s">
        <v>685</v>
      </c>
      <c r="B707" s="50" t="s">
        <v>49</v>
      </c>
      <c r="C707" s="50" t="s">
        <v>1352</v>
      </c>
      <c r="D707" s="24" t="s">
        <v>963</v>
      </c>
    </row>
    <row r="708" spans="1:4">
      <c r="A708" s="50" t="s">
        <v>686</v>
      </c>
      <c r="B708" s="50" t="s">
        <v>560</v>
      </c>
      <c r="C708" s="50" t="s">
        <v>1326</v>
      </c>
      <c r="D708" s="24" t="s">
        <v>1479</v>
      </c>
    </row>
    <row r="709" spans="1:4">
      <c r="A709" s="50" t="s">
        <v>687</v>
      </c>
      <c r="B709" s="50" t="s">
        <v>544</v>
      </c>
      <c r="C709" s="50" t="s">
        <v>1318</v>
      </c>
      <c r="D709" s="24" t="s">
        <v>1475</v>
      </c>
    </row>
    <row r="710" spans="1:4">
      <c r="A710" s="50" t="s">
        <v>688</v>
      </c>
      <c r="B710" s="50" t="s">
        <v>542</v>
      </c>
      <c r="C710" s="50" t="s">
        <v>1317</v>
      </c>
      <c r="D710" s="24" t="s">
        <v>990</v>
      </c>
    </row>
    <row r="711" spans="1:4">
      <c r="A711" s="50" t="s">
        <v>689</v>
      </c>
      <c r="B711" s="50" t="s">
        <v>566</v>
      </c>
      <c r="C711" s="50" t="s">
        <v>1329</v>
      </c>
      <c r="D711" s="24" t="s">
        <v>1480</v>
      </c>
    </row>
    <row r="712" spans="1:4">
      <c r="A712" s="50" t="s">
        <v>690</v>
      </c>
      <c r="B712" s="50" t="s">
        <v>566</v>
      </c>
      <c r="C712" s="50" t="s">
        <v>1329</v>
      </c>
      <c r="D712" s="24" t="s">
        <v>1480</v>
      </c>
    </row>
    <row r="713" spans="1:4">
      <c r="A713" s="50" t="s">
        <v>691</v>
      </c>
      <c r="B713" s="50" t="s">
        <v>587</v>
      </c>
      <c r="C713" s="50" t="s">
        <v>1337</v>
      </c>
      <c r="D713" s="24" t="s">
        <v>987</v>
      </c>
    </row>
    <row r="714" spans="1:4">
      <c r="A714" s="50" t="s">
        <v>692</v>
      </c>
      <c r="B714" s="50" t="s">
        <v>587</v>
      </c>
      <c r="C714" s="50" t="s">
        <v>1337</v>
      </c>
      <c r="D714" s="24" t="s">
        <v>987</v>
      </c>
    </row>
    <row r="715" spans="1:4">
      <c r="A715" s="50" t="s">
        <v>693</v>
      </c>
      <c r="B715" s="50" t="s">
        <v>622</v>
      </c>
      <c r="C715" s="50" t="s">
        <v>1353</v>
      </c>
      <c r="D715" s="24" t="s">
        <v>912</v>
      </c>
    </row>
    <row r="716" spans="1:4">
      <c r="A716" s="50" t="s">
        <v>694</v>
      </c>
      <c r="B716" s="50" t="s">
        <v>605</v>
      </c>
      <c r="C716" s="50"/>
      <c r="D716" s="24" t="s">
        <v>1367</v>
      </c>
    </row>
    <row r="717" spans="1:4">
      <c r="A717" s="50" t="s">
        <v>695</v>
      </c>
      <c r="B717" s="50" t="s">
        <v>622</v>
      </c>
      <c r="C717" s="50" t="s">
        <v>1353</v>
      </c>
      <c r="D717" s="24" t="s">
        <v>912</v>
      </c>
    </row>
    <row r="718" spans="1:4">
      <c r="A718" s="50" t="s">
        <v>696</v>
      </c>
      <c r="B718" s="50" t="s">
        <v>622</v>
      </c>
      <c r="C718" s="50" t="s">
        <v>1353</v>
      </c>
      <c r="D718" s="24" t="s">
        <v>912</v>
      </c>
    </row>
    <row r="719" spans="1:4">
      <c r="A719" s="50" t="s">
        <v>697</v>
      </c>
      <c r="B719" s="50" t="s">
        <v>570</v>
      </c>
      <c r="C719" s="50" t="s">
        <v>1331</v>
      </c>
      <c r="D719" s="24" t="s">
        <v>915</v>
      </c>
    </row>
    <row r="720" spans="1:4">
      <c r="A720" s="50" t="s">
        <v>698</v>
      </c>
      <c r="B720" s="50" t="s">
        <v>558</v>
      </c>
      <c r="C720" s="50" t="s">
        <v>1325</v>
      </c>
      <c r="D720" s="24" t="s">
        <v>1478</v>
      </c>
    </row>
    <row r="721" spans="1:4">
      <c r="A721" s="50" t="s">
        <v>699</v>
      </c>
      <c r="B721" s="50" t="s">
        <v>570</v>
      </c>
      <c r="C721" s="50" t="s">
        <v>1331</v>
      </c>
      <c r="D721" s="24" t="s">
        <v>915</v>
      </c>
    </row>
    <row r="722" spans="1:4">
      <c r="A722" s="50" t="s">
        <v>700</v>
      </c>
      <c r="B722" s="50" t="s">
        <v>38</v>
      </c>
      <c r="C722" s="50" t="s">
        <v>1336</v>
      </c>
      <c r="D722" s="24" t="s">
        <v>1363</v>
      </c>
    </row>
    <row r="723" spans="1:4">
      <c r="A723" s="50" t="s">
        <v>702</v>
      </c>
      <c r="B723" s="50" t="s">
        <v>568</v>
      </c>
      <c r="C723" s="50" t="s">
        <v>1330</v>
      </c>
      <c r="D723" s="24" t="s">
        <v>1393</v>
      </c>
    </row>
    <row r="724" spans="1:4">
      <c r="A724" s="50" t="s">
        <v>703</v>
      </c>
      <c r="B724" s="50" t="s">
        <v>527</v>
      </c>
      <c r="C724" s="50" t="s">
        <v>1312</v>
      </c>
      <c r="D724" s="24" t="s">
        <v>1363</v>
      </c>
    </row>
    <row r="725" spans="1:4">
      <c r="A725" s="50" t="s">
        <v>704</v>
      </c>
      <c r="B725" s="50" t="s">
        <v>527</v>
      </c>
      <c r="C725" s="50" t="s">
        <v>1312</v>
      </c>
      <c r="D725" s="24" t="s">
        <v>1363</v>
      </c>
    </row>
    <row r="726" spans="1:4">
      <c r="A726" s="50" t="s">
        <v>705</v>
      </c>
      <c r="B726" s="50" t="s">
        <v>574</v>
      </c>
      <c r="C726" s="50" t="s">
        <v>1332</v>
      </c>
      <c r="D726" s="24" t="s">
        <v>1481</v>
      </c>
    </row>
    <row r="727" spans="1:4">
      <c r="A727" s="50" t="s">
        <v>706</v>
      </c>
      <c r="B727" s="50" t="s">
        <v>574</v>
      </c>
      <c r="C727" s="50" t="s">
        <v>1332</v>
      </c>
      <c r="D727" s="24" t="s">
        <v>1481</v>
      </c>
    </row>
    <row r="728" spans="1:4">
      <c r="A728" s="50" t="s">
        <v>707</v>
      </c>
      <c r="B728" s="50" t="s">
        <v>532</v>
      </c>
      <c r="C728" s="50" t="s">
        <v>1314</v>
      </c>
      <c r="D728" s="24" t="s">
        <v>1474</v>
      </c>
    </row>
    <row r="729" spans="1:4">
      <c r="A729" s="50" t="s">
        <v>708</v>
      </c>
      <c r="B729" s="50" t="s">
        <v>532</v>
      </c>
      <c r="C729" s="50" t="s">
        <v>1314</v>
      </c>
      <c r="D729" s="24" t="s">
        <v>1474</v>
      </c>
    </row>
    <row r="730" spans="1:4">
      <c r="A730" s="50" t="s">
        <v>709</v>
      </c>
      <c r="B730" s="50" t="s">
        <v>568</v>
      </c>
      <c r="C730" s="50" t="s">
        <v>1330</v>
      </c>
      <c r="D730" s="24" t="s">
        <v>1393</v>
      </c>
    </row>
    <row r="731" spans="1:4">
      <c r="A731" s="50" t="s">
        <v>710</v>
      </c>
      <c r="B731" s="50" t="s">
        <v>568</v>
      </c>
      <c r="C731" s="50" t="s">
        <v>1330</v>
      </c>
      <c r="D731" s="24" t="s">
        <v>1393</v>
      </c>
    </row>
    <row r="732" spans="1:4">
      <c r="A732" s="50" t="s">
        <v>711</v>
      </c>
      <c r="B732" s="50" t="s">
        <v>583</v>
      </c>
      <c r="C732" s="50" t="s">
        <v>1277</v>
      </c>
      <c r="D732" s="24" t="s">
        <v>1373</v>
      </c>
    </row>
    <row r="733" spans="1:4">
      <c r="A733" s="50" t="s">
        <v>712</v>
      </c>
      <c r="B733" s="50" t="s">
        <v>577</v>
      </c>
      <c r="C733" s="50" t="s">
        <v>1334</v>
      </c>
      <c r="D733" s="24" t="s">
        <v>1482</v>
      </c>
    </row>
    <row r="734" spans="1:4">
      <c r="A734" s="50" t="s">
        <v>713</v>
      </c>
      <c r="B734" s="50" t="s">
        <v>579</v>
      </c>
      <c r="C734" s="50" t="s">
        <v>1335</v>
      </c>
      <c r="D734" s="24" t="s">
        <v>1438</v>
      </c>
    </row>
    <row r="735" spans="1:4">
      <c r="A735" s="50" t="s">
        <v>714</v>
      </c>
      <c r="B735" s="50" t="s">
        <v>572</v>
      </c>
      <c r="C735" s="50"/>
      <c r="D735" s="24" t="s">
        <v>1374</v>
      </c>
    </row>
    <row r="736" spans="1:4">
      <c r="A736" s="50" t="s">
        <v>715</v>
      </c>
      <c r="B736" s="50" t="s">
        <v>534</v>
      </c>
      <c r="C736" s="50" t="s">
        <v>1315</v>
      </c>
      <c r="D736" s="24" t="s">
        <v>1446</v>
      </c>
    </row>
    <row r="737" spans="1:4">
      <c r="A737" s="50" t="s">
        <v>716</v>
      </c>
      <c r="B737" s="50" t="s">
        <v>534</v>
      </c>
      <c r="C737" s="50" t="s">
        <v>1315</v>
      </c>
      <c r="D737" s="24" t="s">
        <v>1446</v>
      </c>
    </row>
    <row r="738" spans="1:4">
      <c r="A738" s="50" t="s">
        <v>717</v>
      </c>
      <c r="B738" s="50" t="s">
        <v>534</v>
      </c>
      <c r="C738" s="50" t="s">
        <v>1315</v>
      </c>
      <c r="D738" s="24" t="s">
        <v>1446</v>
      </c>
    </row>
    <row r="739" spans="1:4">
      <c r="A739" s="50" t="s">
        <v>718</v>
      </c>
      <c r="B739" s="50" t="s">
        <v>574</v>
      </c>
      <c r="C739" s="50" t="s">
        <v>1333</v>
      </c>
      <c r="D739" s="24" t="s">
        <v>1366</v>
      </c>
    </row>
    <row r="740" spans="1:4">
      <c r="A740" s="50" t="s">
        <v>719</v>
      </c>
      <c r="B740" s="50" t="s">
        <v>613</v>
      </c>
      <c r="C740" s="50" t="s">
        <v>1350</v>
      </c>
      <c r="D740" s="24" t="s">
        <v>1486</v>
      </c>
    </row>
    <row r="741" spans="1:4">
      <c r="A741" s="50" t="s">
        <v>1364</v>
      </c>
      <c r="B741" s="50" t="s">
        <v>1339</v>
      </c>
      <c r="C741" s="50" t="s">
        <v>1187</v>
      </c>
      <c r="D741" s="24" t="s">
        <v>981</v>
      </c>
    </row>
    <row r="742" spans="1:4">
      <c r="A742" s="50" t="s">
        <v>720</v>
      </c>
      <c r="B742" s="50" t="s">
        <v>1339</v>
      </c>
      <c r="C742" s="50" t="s">
        <v>1187</v>
      </c>
      <c r="D742" s="24" t="s">
        <v>981</v>
      </c>
    </row>
    <row r="743" spans="1:4">
      <c r="A743" s="50" t="s">
        <v>721</v>
      </c>
      <c r="B743" s="50" t="s">
        <v>581</v>
      </c>
      <c r="C743" s="50" t="s">
        <v>1305</v>
      </c>
      <c r="D743" s="24" t="s">
        <v>933</v>
      </c>
    </row>
    <row r="744" spans="1:4">
      <c r="A744" s="50" t="s">
        <v>722</v>
      </c>
      <c r="B744" s="50" t="s">
        <v>593</v>
      </c>
      <c r="C744" s="50" t="s">
        <v>1283</v>
      </c>
      <c r="D744" s="24" t="s">
        <v>921</v>
      </c>
    </row>
    <row r="745" spans="1:4">
      <c r="A745" s="50" t="s">
        <v>723</v>
      </c>
      <c r="B745" s="50" t="s">
        <v>620</v>
      </c>
      <c r="C745" s="50"/>
      <c r="D745" s="24" t="s">
        <v>921</v>
      </c>
    </row>
    <row r="746" spans="1:4">
      <c r="A746" s="50" t="s">
        <v>724</v>
      </c>
      <c r="B746" s="50" t="s">
        <v>610</v>
      </c>
      <c r="C746" s="50" t="s">
        <v>1348</v>
      </c>
      <c r="D746" s="24" t="s">
        <v>1484</v>
      </c>
    </row>
    <row r="747" spans="1:4">
      <c r="A747" s="50" t="s">
        <v>725</v>
      </c>
      <c r="B747" s="50" t="s">
        <v>610</v>
      </c>
      <c r="C747" s="50" t="s">
        <v>1348</v>
      </c>
      <c r="D747" s="24" t="s">
        <v>1484</v>
      </c>
    </row>
    <row r="748" spans="1:4">
      <c r="A748" s="50" t="s">
        <v>726</v>
      </c>
      <c r="B748" s="50" t="s">
        <v>581</v>
      </c>
      <c r="C748" s="50" t="s">
        <v>1305</v>
      </c>
      <c r="D748" s="24" t="s">
        <v>933</v>
      </c>
    </row>
    <row r="749" spans="1:4">
      <c r="A749" s="50" t="s">
        <v>727</v>
      </c>
      <c r="B749" s="50" t="s">
        <v>593</v>
      </c>
      <c r="C749" s="50" t="s">
        <v>1283</v>
      </c>
      <c r="D749" s="24" t="s">
        <v>921</v>
      </c>
    </row>
    <row r="750" spans="1:4">
      <c r="A750" s="50" t="s">
        <v>728</v>
      </c>
      <c r="B750" s="50" t="s">
        <v>591</v>
      </c>
      <c r="C750" s="50" t="s">
        <v>1349</v>
      </c>
      <c r="D750" s="24" t="s">
        <v>1485</v>
      </c>
    </row>
    <row r="751" spans="1:4">
      <c r="A751" s="50" t="s">
        <v>729</v>
      </c>
      <c r="B751" s="50" t="s">
        <v>591</v>
      </c>
      <c r="C751" s="50" t="s">
        <v>1340</v>
      </c>
      <c r="D751" s="24" t="s">
        <v>919</v>
      </c>
    </row>
    <row r="752" spans="1:4">
      <c r="A752" s="50" t="s">
        <v>730</v>
      </c>
      <c r="B752" s="50" t="s">
        <v>591</v>
      </c>
      <c r="C752" s="50" t="s">
        <v>1340</v>
      </c>
      <c r="D752" s="24" t="s">
        <v>919</v>
      </c>
    </row>
    <row r="753" spans="1:4">
      <c r="A753" s="50" t="s">
        <v>731</v>
      </c>
      <c r="B753" s="50" t="s">
        <v>581</v>
      </c>
      <c r="C753" s="50" t="s">
        <v>1305</v>
      </c>
      <c r="D753" s="24" t="s">
        <v>933</v>
      </c>
    </row>
    <row r="754" spans="1:4">
      <c r="A754" s="50" t="s">
        <v>732</v>
      </c>
      <c r="B754" s="50" t="s">
        <v>581</v>
      </c>
      <c r="C754" s="50" t="s">
        <v>1305</v>
      </c>
      <c r="D754" s="24" t="s">
        <v>933</v>
      </c>
    </row>
    <row r="755" spans="1:4">
      <c r="A755" s="50" t="s">
        <v>733</v>
      </c>
      <c r="B755" s="50" t="s">
        <v>599</v>
      </c>
      <c r="C755" s="50" t="s">
        <v>1343</v>
      </c>
      <c r="D755" s="24" t="s">
        <v>1443</v>
      </c>
    </row>
    <row r="756" spans="1:4">
      <c r="A756" s="50" t="s">
        <v>734</v>
      </c>
      <c r="B756" s="50" t="s">
        <v>599</v>
      </c>
      <c r="C756" s="50" t="s">
        <v>1343</v>
      </c>
      <c r="D756" s="24" t="s">
        <v>1443</v>
      </c>
    </row>
    <row r="757" spans="1:4">
      <c r="A757" s="50" t="s">
        <v>735</v>
      </c>
      <c r="B757" s="50" t="s">
        <v>589</v>
      </c>
      <c r="C757" s="50" t="s">
        <v>981</v>
      </c>
      <c r="D757" s="24" t="s">
        <v>981</v>
      </c>
    </row>
    <row r="758" spans="1:4">
      <c r="A758" s="50" t="s">
        <v>736</v>
      </c>
      <c r="B758" s="50" t="s">
        <v>589</v>
      </c>
      <c r="C758" s="50" t="s">
        <v>981</v>
      </c>
      <c r="D758" s="24" t="s">
        <v>981</v>
      </c>
    </row>
    <row r="759" spans="1:4">
      <c r="A759" s="50" t="s">
        <v>737</v>
      </c>
      <c r="B759" s="50" t="s">
        <v>542</v>
      </c>
      <c r="C759" s="50" t="s">
        <v>1347</v>
      </c>
      <c r="D759" s="24" t="s">
        <v>1435</v>
      </c>
    </row>
    <row r="760" spans="1:4">
      <c r="A760" s="50" t="s">
        <v>738</v>
      </c>
      <c r="B760" s="50" t="s">
        <v>542</v>
      </c>
      <c r="C760" s="50" t="s">
        <v>1347</v>
      </c>
      <c r="D760" s="24" t="s">
        <v>1435</v>
      </c>
    </row>
    <row r="761" spans="1:4">
      <c r="A761" s="50" t="s">
        <v>739</v>
      </c>
      <c r="B761" s="50" t="s">
        <v>595</v>
      </c>
      <c r="C761" s="50" t="s">
        <v>1341</v>
      </c>
      <c r="D761" s="24" t="s">
        <v>1483</v>
      </c>
    </row>
    <row r="762" spans="1:4">
      <c r="A762" s="50" t="s">
        <v>740</v>
      </c>
      <c r="B762" s="50" t="s">
        <v>615</v>
      </c>
      <c r="C762" s="50" t="s">
        <v>1128</v>
      </c>
      <c r="D762" s="24" t="s">
        <v>1483</v>
      </c>
    </row>
    <row r="763" spans="1:4">
      <c r="A763" s="50" t="s">
        <v>741</v>
      </c>
      <c r="B763" s="50" t="s">
        <v>615</v>
      </c>
      <c r="C763" s="50" t="s">
        <v>1128</v>
      </c>
      <c r="D763" s="24" t="s">
        <v>1444</v>
      </c>
    </row>
    <row r="764" spans="1:4">
      <c r="A764" s="50" t="s">
        <v>742</v>
      </c>
      <c r="B764" s="50" t="s">
        <v>615</v>
      </c>
      <c r="C764" s="50" t="s">
        <v>1128</v>
      </c>
      <c r="D764" s="24" t="s">
        <v>1444</v>
      </c>
    </row>
    <row r="765" spans="1:4">
      <c r="A765" s="50" t="s">
        <v>743</v>
      </c>
      <c r="B765" s="50" t="s">
        <v>38</v>
      </c>
      <c r="C765" s="50" t="s">
        <v>1336</v>
      </c>
      <c r="D765" s="24" t="s">
        <v>962</v>
      </c>
    </row>
    <row r="766" spans="1:4">
      <c r="A766" s="50" t="s">
        <v>744</v>
      </c>
      <c r="B766" s="50" t="s">
        <v>38</v>
      </c>
      <c r="C766" s="50" t="s">
        <v>1336</v>
      </c>
      <c r="D766" s="24" t="s">
        <v>962</v>
      </c>
    </row>
    <row r="767" spans="1:4">
      <c r="A767" s="50" t="s">
        <v>745</v>
      </c>
      <c r="B767" s="50" t="s">
        <v>38</v>
      </c>
      <c r="C767" s="50" t="s">
        <v>1336</v>
      </c>
      <c r="D767" s="24" t="s">
        <v>962</v>
      </c>
    </row>
    <row r="768" spans="1:4">
      <c r="A768" s="50" t="s">
        <v>746</v>
      </c>
      <c r="B768" s="50" t="s">
        <v>521</v>
      </c>
      <c r="C768" s="50" t="s">
        <v>1200</v>
      </c>
      <c r="D768" s="24" t="s">
        <v>962</v>
      </c>
    </row>
    <row r="769" spans="1:4">
      <c r="A769" s="50" t="s">
        <v>747</v>
      </c>
      <c r="B769" s="50" t="s">
        <v>521</v>
      </c>
      <c r="C769" s="50" t="s">
        <v>1200</v>
      </c>
      <c r="D769" s="24" t="s">
        <v>962</v>
      </c>
    </row>
    <row r="770" spans="1:4">
      <c r="A770"/>
      <c r="B770"/>
    </row>
    <row r="771" spans="1:4">
      <c r="A771" s="26">
        <v>56612711</v>
      </c>
      <c r="B771" t="s">
        <v>46</v>
      </c>
      <c r="C771" t="s">
        <v>46</v>
      </c>
      <c r="D771" t="s">
        <v>46</v>
      </c>
    </row>
    <row r="772" spans="1:4">
      <c r="A772">
        <v>56607394</v>
      </c>
      <c r="B772" t="s">
        <v>1493</v>
      </c>
      <c r="C772" t="s">
        <v>1494</v>
      </c>
      <c r="D772" t="s">
        <v>921</v>
      </c>
    </row>
    <row r="773" spans="1:4">
      <c r="A773">
        <v>56621827</v>
      </c>
      <c r="B773" t="s">
        <v>1495</v>
      </c>
      <c r="C773" t="s">
        <v>1036</v>
      </c>
      <c r="D773" t="s">
        <v>1496</v>
      </c>
    </row>
    <row r="774" spans="1:4">
      <c r="A774">
        <v>56622740</v>
      </c>
      <c r="B774" t="s">
        <v>372</v>
      </c>
      <c r="C774" t="s">
        <v>1048</v>
      </c>
      <c r="D774" t="s">
        <v>902</v>
      </c>
    </row>
    <row r="775" spans="1:4">
      <c r="A775" s="54">
        <v>56624340</v>
      </c>
      <c r="B775" t="s">
        <v>1497</v>
      </c>
      <c r="C775" t="s">
        <v>1498</v>
      </c>
      <c r="D775" t="s">
        <v>929</v>
      </c>
    </row>
    <row r="776" spans="1:4">
      <c r="A776" s="34">
        <v>56626118</v>
      </c>
      <c r="B776" s="25" t="s">
        <v>1499</v>
      </c>
      <c r="C776" t="s">
        <v>1213</v>
      </c>
      <c r="D776" t="s">
        <v>1500</v>
      </c>
    </row>
    <row r="777" spans="1:4">
      <c r="A777" s="34">
        <v>56626119</v>
      </c>
      <c r="B777" t="s">
        <v>1501</v>
      </c>
      <c r="C777" t="s">
        <v>1195</v>
      </c>
      <c r="D777" t="s">
        <v>964</v>
      </c>
    </row>
    <row r="778" spans="1:4">
      <c r="A778" s="34">
        <v>56626609</v>
      </c>
      <c r="B778" t="s">
        <v>1502</v>
      </c>
      <c r="C778" t="s">
        <v>1503</v>
      </c>
      <c r="D778" t="s">
        <v>907</v>
      </c>
    </row>
    <row r="779" spans="1:4">
      <c r="A779" s="34">
        <v>56627541</v>
      </c>
      <c r="B779" t="s">
        <v>1504</v>
      </c>
      <c r="C779" s="50" t="s">
        <v>1505</v>
      </c>
      <c r="D779" t="s">
        <v>929</v>
      </c>
    </row>
    <row r="780" spans="1:4">
      <c r="A780" s="63">
        <v>56626033</v>
      </c>
      <c r="B780" t="s">
        <v>1532</v>
      </c>
      <c r="C780" t="s">
        <v>1533</v>
      </c>
      <c r="D780" t="s">
        <v>1399</v>
      </c>
    </row>
    <row r="781" spans="1:4">
      <c r="A781" s="63">
        <v>56626282</v>
      </c>
      <c r="B781" t="s">
        <v>1534</v>
      </c>
      <c r="C781" t="s">
        <v>1039</v>
      </c>
      <c r="D781" t="s">
        <v>1432</v>
      </c>
    </row>
    <row r="782" spans="1:4">
      <c r="A782" s="63">
        <v>56626688</v>
      </c>
      <c r="B782" t="s">
        <v>1532</v>
      </c>
      <c r="C782" t="s">
        <v>1533</v>
      </c>
      <c r="D782" t="s">
        <v>1399</v>
      </c>
    </row>
    <row r="783" spans="1:4">
      <c r="A783" s="63">
        <v>56627049</v>
      </c>
      <c r="B783" t="s">
        <v>1535</v>
      </c>
      <c r="C783" s="50" t="s">
        <v>1020</v>
      </c>
      <c r="D783" t="s">
        <v>1367</v>
      </c>
    </row>
    <row r="784" spans="1:4">
      <c r="A784" s="63">
        <v>56627674</v>
      </c>
      <c r="B784" t="s">
        <v>1536</v>
      </c>
      <c r="C784" t="s">
        <v>1213</v>
      </c>
      <c r="D784" t="s">
        <v>1496</v>
      </c>
    </row>
    <row r="785" spans="1:4">
      <c r="A785" s="63">
        <v>56627676</v>
      </c>
      <c r="B785" t="s">
        <v>1536</v>
      </c>
      <c r="C785" t="s">
        <v>1213</v>
      </c>
      <c r="D785" t="s">
        <v>1496</v>
      </c>
    </row>
    <row r="786" spans="1:4">
      <c r="A786" s="63">
        <v>56627678</v>
      </c>
      <c r="B786" t="s">
        <v>1536</v>
      </c>
      <c r="C786" t="s">
        <v>1213</v>
      </c>
      <c r="D786" t="s">
        <v>1496</v>
      </c>
    </row>
    <row r="787" spans="1:4">
      <c r="A787" s="63">
        <v>56627679</v>
      </c>
      <c r="B787" t="s">
        <v>1537</v>
      </c>
      <c r="C787" t="s">
        <v>1213</v>
      </c>
      <c r="D787" t="s">
        <v>1496</v>
      </c>
    </row>
    <row r="788" spans="1:4">
      <c r="A788" s="63">
        <v>56629721</v>
      </c>
      <c r="B788" t="s">
        <v>1538</v>
      </c>
      <c r="C788" t="s">
        <v>1539</v>
      </c>
      <c r="D788" t="s">
        <v>1540</v>
      </c>
    </row>
    <row r="789" spans="1:4">
      <c r="A789" s="64">
        <v>56623332</v>
      </c>
      <c r="B789" t="s">
        <v>1541</v>
      </c>
      <c r="C789" t="s">
        <v>1542</v>
      </c>
      <c r="D789" t="s">
        <v>910</v>
      </c>
    </row>
    <row r="790" spans="1:4">
      <c r="A790" s="64">
        <v>56627152</v>
      </c>
      <c r="B790" t="s">
        <v>1543</v>
      </c>
      <c r="C790" t="s">
        <v>1155</v>
      </c>
      <c r="D790" t="s">
        <v>945</v>
      </c>
    </row>
    <row r="791" spans="1:4">
      <c r="A791" s="64">
        <v>56627680</v>
      </c>
      <c r="B791" t="s">
        <v>1536</v>
      </c>
      <c r="C791" t="s">
        <v>1213</v>
      </c>
      <c r="D791" t="s">
        <v>1496</v>
      </c>
    </row>
    <row r="792" spans="1:4">
      <c r="A792" s="64">
        <v>56627682</v>
      </c>
      <c r="B792" t="s">
        <v>1536</v>
      </c>
      <c r="C792" t="s">
        <v>1544</v>
      </c>
      <c r="D792" t="s">
        <v>1496</v>
      </c>
    </row>
    <row r="793" spans="1:4">
      <c r="A793" s="64">
        <v>56627684</v>
      </c>
      <c r="B793" t="s">
        <v>1536</v>
      </c>
      <c r="C793" t="s">
        <v>1545</v>
      </c>
      <c r="D793" t="s">
        <v>1496</v>
      </c>
    </row>
    <row r="794" spans="1:4">
      <c r="A794" s="65">
        <v>56623220</v>
      </c>
      <c r="B794" t="s">
        <v>1546</v>
      </c>
      <c r="C794" t="s">
        <v>1547</v>
      </c>
      <c r="D794" t="s">
        <v>1548</v>
      </c>
    </row>
    <row r="795" spans="1:4">
      <c r="A795" s="66">
        <v>56632182</v>
      </c>
      <c r="B795" t="s">
        <v>1549</v>
      </c>
      <c r="C795" t="s">
        <v>1550</v>
      </c>
      <c r="D795" t="s">
        <v>1368</v>
      </c>
    </row>
    <row r="796" spans="1:4">
      <c r="A796" s="34">
        <v>56631033</v>
      </c>
      <c r="B796" t="s">
        <v>1551</v>
      </c>
      <c r="C796" t="s">
        <v>1552</v>
      </c>
      <c r="D796" t="s">
        <v>1369</v>
      </c>
    </row>
    <row r="797" spans="1:4">
      <c r="A797" s="34">
        <v>56632862</v>
      </c>
      <c r="B797" t="s">
        <v>1553</v>
      </c>
      <c r="C797" t="s">
        <v>1554</v>
      </c>
      <c r="D797" t="s">
        <v>1383</v>
      </c>
    </row>
    <row r="798" spans="1:4">
      <c r="A798" s="34">
        <v>57931387</v>
      </c>
      <c r="B798" t="s">
        <v>1555</v>
      </c>
      <c r="C798" t="s">
        <v>1069</v>
      </c>
      <c r="D798" t="s">
        <v>1366</v>
      </c>
    </row>
    <row r="799" spans="1:4">
      <c r="A799" s="73">
        <v>56628423</v>
      </c>
      <c r="B799" t="s">
        <v>1556</v>
      </c>
      <c r="C799" t="s">
        <v>1191</v>
      </c>
      <c r="D799" t="s">
        <v>1557</v>
      </c>
    </row>
    <row r="800" spans="1:4">
      <c r="A800" s="74">
        <v>56633974</v>
      </c>
      <c r="B800" t="s">
        <v>1558</v>
      </c>
      <c r="C800" t="s">
        <v>1149</v>
      </c>
      <c r="D800" t="s">
        <v>950</v>
      </c>
    </row>
    <row r="801" spans="1:4">
      <c r="A801" s="34">
        <v>56630531</v>
      </c>
      <c r="B801" t="s">
        <v>1559</v>
      </c>
      <c r="C801" t="s">
        <v>1150</v>
      </c>
      <c r="D801" t="s">
        <v>1369</v>
      </c>
    </row>
    <row r="802" spans="1:4">
      <c r="A802" s="34">
        <v>56635427</v>
      </c>
      <c r="B802" t="s">
        <v>1560</v>
      </c>
      <c r="C802" t="s">
        <v>1039</v>
      </c>
      <c r="D802" t="s">
        <v>1432</v>
      </c>
    </row>
    <row r="803" spans="1:4">
      <c r="A803" s="34">
        <v>56635853</v>
      </c>
      <c r="B803" t="s">
        <v>1561</v>
      </c>
      <c r="C803" t="s">
        <v>1192</v>
      </c>
      <c r="D803" t="s">
        <v>1372</v>
      </c>
    </row>
    <row r="804" spans="1:4">
      <c r="A804" s="34">
        <v>56636143</v>
      </c>
      <c r="B804" t="s">
        <v>1562</v>
      </c>
      <c r="C804" t="s">
        <v>1563</v>
      </c>
      <c r="D804" t="s">
        <v>899</v>
      </c>
    </row>
    <row r="805" spans="1:4">
      <c r="A805" s="75">
        <v>56607316</v>
      </c>
      <c r="B805" t="s">
        <v>1564</v>
      </c>
      <c r="C805" t="s">
        <v>1565</v>
      </c>
      <c r="D805" t="s">
        <v>1377</v>
      </c>
    </row>
    <row r="806" spans="1:4">
      <c r="A806" s="75">
        <v>56635984</v>
      </c>
      <c r="B806" t="s">
        <v>1566</v>
      </c>
      <c r="C806" t="s">
        <v>1304</v>
      </c>
      <c r="D806" t="s">
        <v>1383</v>
      </c>
    </row>
    <row r="807" spans="1:4">
      <c r="A807" s="76">
        <v>56627768</v>
      </c>
      <c r="B807" t="s">
        <v>1567</v>
      </c>
      <c r="C807" t="s">
        <v>1146</v>
      </c>
      <c r="D807" t="s">
        <v>933</v>
      </c>
    </row>
    <row r="808" spans="1:4">
      <c r="A808" s="76">
        <v>56633604</v>
      </c>
      <c r="B808" t="s">
        <v>1568</v>
      </c>
      <c r="C808" t="s">
        <v>1569</v>
      </c>
      <c r="D808" t="s">
        <v>954</v>
      </c>
    </row>
    <row r="809" spans="1:4">
      <c r="A809" s="76">
        <v>56635675</v>
      </c>
      <c r="B809" t="s">
        <v>251</v>
      </c>
      <c r="C809" t="s">
        <v>1153</v>
      </c>
      <c r="D809" t="s">
        <v>942</v>
      </c>
    </row>
    <row r="810" spans="1:4">
      <c r="A810" s="34">
        <v>56635676</v>
      </c>
      <c r="B810" t="s">
        <v>1570</v>
      </c>
      <c r="C810" t="s">
        <v>1070</v>
      </c>
      <c r="D810" t="s">
        <v>1571</v>
      </c>
    </row>
    <row r="811" spans="1:4">
      <c r="A811" s="77">
        <v>56640229</v>
      </c>
      <c r="B811" t="s">
        <v>1572</v>
      </c>
      <c r="C811" t="s">
        <v>1573</v>
      </c>
      <c r="D811" t="s">
        <v>915</v>
      </c>
    </row>
    <row r="812" spans="1:4">
      <c r="A812" s="78">
        <v>56634797</v>
      </c>
      <c r="B812" t="s">
        <v>372</v>
      </c>
      <c r="C812" t="s">
        <v>1233</v>
      </c>
      <c r="D812" t="s">
        <v>902</v>
      </c>
    </row>
    <row r="813" spans="1:4">
      <c r="A813" s="78">
        <v>56641020</v>
      </c>
      <c r="B813" t="s">
        <v>1574</v>
      </c>
      <c r="C813" t="s">
        <v>1575</v>
      </c>
      <c r="D813" t="s">
        <v>1383</v>
      </c>
    </row>
    <row r="814" spans="1:4">
      <c r="A814" s="78">
        <v>56641890</v>
      </c>
      <c r="B814" t="s">
        <v>1576</v>
      </c>
      <c r="C814" t="s">
        <v>1125</v>
      </c>
      <c r="D814" t="s">
        <v>1402</v>
      </c>
    </row>
    <row r="815" spans="1:4">
      <c r="A815" s="79">
        <v>56640034</v>
      </c>
      <c r="B815" t="s">
        <v>1577</v>
      </c>
      <c r="C815" t="s">
        <v>1186</v>
      </c>
      <c r="D815" t="s">
        <v>979</v>
      </c>
    </row>
    <row r="816" spans="1:4">
      <c r="A816" s="79">
        <v>56640288</v>
      </c>
      <c r="B816" t="s">
        <v>1578</v>
      </c>
      <c r="C816" t="s">
        <v>1222</v>
      </c>
      <c r="D816" t="s">
        <v>1579</v>
      </c>
    </row>
    <row r="817" spans="1:4">
      <c r="A817" s="79">
        <v>56642185</v>
      </c>
      <c r="B817" t="s">
        <v>1580</v>
      </c>
      <c r="C817" t="s">
        <v>1581</v>
      </c>
      <c r="D817" t="s">
        <v>990</v>
      </c>
    </row>
    <row r="818" spans="1:4">
      <c r="A818" s="79">
        <v>56642423</v>
      </c>
      <c r="B818" t="s">
        <v>1582</v>
      </c>
      <c r="C818" t="s">
        <v>1056</v>
      </c>
      <c r="D818" t="s">
        <v>1380</v>
      </c>
    </row>
    <row r="819" spans="1:4">
      <c r="A819" s="80">
        <v>56642248</v>
      </c>
      <c r="B819" t="s">
        <v>1583</v>
      </c>
      <c r="C819" t="s">
        <v>1003</v>
      </c>
      <c r="D819" t="s">
        <v>1391</v>
      </c>
    </row>
    <row r="820" spans="1:4">
      <c r="A820" s="81">
        <v>56643024</v>
      </c>
      <c r="B820" t="s">
        <v>906</v>
      </c>
      <c r="C820" t="s">
        <v>1036</v>
      </c>
      <c r="D820" t="s">
        <v>1496</v>
      </c>
    </row>
    <row r="821" spans="1:4">
      <c r="A821" s="82">
        <v>56607371</v>
      </c>
      <c r="B821" t="s">
        <v>57</v>
      </c>
      <c r="C821" t="s">
        <v>1584</v>
      </c>
      <c r="D821" s="24" t="s">
        <v>990</v>
      </c>
    </row>
    <row r="822" spans="1:4">
      <c r="A822" s="82">
        <v>56637883</v>
      </c>
      <c r="B822" t="s">
        <v>250</v>
      </c>
      <c r="C822" t="s">
        <v>1151</v>
      </c>
      <c r="D822" t="s">
        <v>897</v>
      </c>
    </row>
    <row r="823" spans="1:4">
      <c r="A823" s="82">
        <v>57939881</v>
      </c>
      <c r="B823" t="s">
        <v>1585</v>
      </c>
      <c r="C823" t="s">
        <v>1586</v>
      </c>
      <c r="D823" t="s">
        <v>1587</v>
      </c>
    </row>
    <row r="824" spans="1:4">
      <c r="A824" s="82">
        <v>56646548</v>
      </c>
      <c r="B824" t="s">
        <v>126</v>
      </c>
      <c r="C824" t="s">
        <v>1077</v>
      </c>
      <c r="D824" t="s">
        <v>1404</v>
      </c>
    </row>
    <row r="825" spans="1:4">
      <c r="A825" s="82">
        <v>56647217</v>
      </c>
      <c r="B825" t="s">
        <v>1578</v>
      </c>
      <c r="C825" t="s">
        <v>1222</v>
      </c>
      <c r="D825" t="s">
        <v>1579</v>
      </c>
    </row>
    <row r="826" spans="1:4">
      <c r="A826" s="83">
        <v>56646176</v>
      </c>
      <c r="B826" t="s">
        <v>1588</v>
      </c>
      <c r="C826" t="s">
        <v>1155</v>
      </c>
      <c r="D826" t="s">
        <v>945</v>
      </c>
    </row>
    <row r="827" spans="1:4">
      <c r="A827" s="83">
        <v>56646543</v>
      </c>
      <c r="B827" t="s">
        <v>123</v>
      </c>
      <c r="C827" t="s">
        <v>1271</v>
      </c>
      <c r="D827" t="s">
        <v>1400</v>
      </c>
    </row>
    <row r="828" spans="1:4">
      <c r="A828" s="83">
        <v>56646545</v>
      </c>
      <c r="B828" t="s">
        <v>227</v>
      </c>
      <c r="C828" s="83" t="s">
        <v>1145</v>
      </c>
      <c r="D828" t="s">
        <v>1389</v>
      </c>
    </row>
    <row r="829" spans="1:4">
      <c r="A829" s="83">
        <v>56646551</v>
      </c>
      <c r="B829" t="s">
        <v>157</v>
      </c>
      <c r="C829" t="s">
        <v>1098</v>
      </c>
      <c r="D829" t="s">
        <v>1589</v>
      </c>
    </row>
    <row r="830" spans="1:4">
      <c r="A830" s="83">
        <v>56646770</v>
      </c>
      <c r="B830" t="s">
        <v>1582</v>
      </c>
      <c r="C830" t="s">
        <v>1048</v>
      </c>
      <c r="D830" t="s">
        <v>902</v>
      </c>
    </row>
    <row r="831" spans="1:4">
      <c r="A831" s="83">
        <v>56647055</v>
      </c>
      <c r="B831" t="s">
        <v>1590</v>
      </c>
      <c r="C831" t="s">
        <v>1591</v>
      </c>
      <c r="D831" t="s">
        <v>1443</v>
      </c>
    </row>
    <row r="832" spans="1:4">
      <c r="A832" s="88">
        <v>56646544</v>
      </c>
      <c r="B832" t="s">
        <v>200</v>
      </c>
      <c r="C832" t="s">
        <v>1124</v>
      </c>
      <c r="D832" t="s">
        <v>1402</v>
      </c>
    </row>
    <row r="833" spans="1:4">
      <c r="A833" s="88">
        <v>56647056</v>
      </c>
      <c r="B833" t="s">
        <v>1592</v>
      </c>
      <c r="C833" t="s">
        <v>1222</v>
      </c>
      <c r="D833" t="s">
        <v>1579</v>
      </c>
    </row>
  </sheetData>
  <autoFilter ref="A1:D771"/>
  <pageMargins left="0.7" right="0.7" top="0.75" bottom="0.75" header="0.3" footer="0.3"/>
  <pageSetup paperSize="9" orientation="portrait" horizontalDpi="4294967294" vertic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"/>
  <sheetViews>
    <sheetView workbookViewId="0"/>
  </sheetViews>
  <sheetFormatPr defaultRowHeight="15"/>
  <cols>
    <col min="1" max="1" width="74.7109375" bestFit="1" customWidth="1"/>
  </cols>
  <sheetData>
    <row r="1" spans="1:1">
      <c r="A1" t="s">
        <v>42</v>
      </c>
    </row>
    <row r="2" spans="1:1">
      <c r="A2" t="s">
        <v>52</v>
      </c>
    </row>
    <row r="3" spans="1:1">
      <c r="A3" t="s">
        <v>48</v>
      </c>
    </row>
    <row r="4" spans="1:1">
      <c r="A4" t="s">
        <v>43</v>
      </c>
    </row>
    <row r="5" spans="1:1">
      <c r="A5" t="s">
        <v>44</v>
      </c>
    </row>
    <row r="6" spans="1:1">
      <c r="A6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1"/>
  <sheetViews>
    <sheetView topLeftCell="E19" workbookViewId="0">
      <selection activeCell="G42" sqref="G42"/>
    </sheetView>
  </sheetViews>
  <sheetFormatPr defaultRowHeight="15"/>
  <cols>
    <col min="2" max="2" width="22.5703125" customWidth="1"/>
    <col min="3" max="3" width="11.5703125" customWidth="1"/>
    <col min="5" max="5" width="22.42578125" customWidth="1"/>
    <col min="6" max="6" width="15.140625" customWidth="1"/>
    <col min="7" max="7" width="19.85546875" customWidth="1"/>
    <col min="9" max="9" width="14.85546875" customWidth="1"/>
    <col min="11" max="11" width="13.85546875" customWidth="1"/>
    <col min="18" max="18" width="13.5703125" customWidth="1"/>
    <col min="19" max="19" width="14.85546875" customWidth="1"/>
    <col min="20" max="20" width="16" customWidth="1"/>
  </cols>
  <sheetData>
    <row r="1" spans="1:21">
      <c r="A1" t="s">
        <v>757</v>
      </c>
      <c r="B1" t="s">
        <v>758</v>
      </c>
      <c r="C1" t="s">
        <v>759</v>
      </c>
      <c r="D1" t="s">
        <v>18</v>
      </c>
      <c r="E1" t="s">
        <v>760</v>
      </c>
      <c r="F1" t="s">
        <v>761</v>
      </c>
      <c r="G1" t="s">
        <v>762</v>
      </c>
      <c r="H1" t="s">
        <v>763</v>
      </c>
      <c r="I1" t="s">
        <v>764</v>
      </c>
      <c r="J1" t="s">
        <v>765</v>
      </c>
      <c r="K1" t="s">
        <v>766</v>
      </c>
      <c r="L1" t="s">
        <v>767</v>
      </c>
      <c r="M1" t="s">
        <v>768</v>
      </c>
      <c r="N1" t="s">
        <v>769</v>
      </c>
      <c r="O1" t="s">
        <v>770</v>
      </c>
      <c r="P1" t="s">
        <v>9</v>
      </c>
      <c r="Q1" t="s">
        <v>771</v>
      </c>
      <c r="R1" t="s">
        <v>772</v>
      </c>
      <c r="S1" t="s">
        <v>773</v>
      </c>
      <c r="T1" s="55" t="s">
        <v>1506</v>
      </c>
    </row>
    <row r="2" spans="1:21">
      <c r="A2" t="s">
        <v>774</v>
      </c>
      <c r="B2" t="s">
        <v>701</v>
      </c>
      <c r="C2" t="s">
        <v>1507</v>
      </c>
      <c r="D2" t="s">
        <v>813</v>
      </c>
      <c r="E2" t="s">
        <v>1508</v>
      </c>
      <c r="F2" t="s">
        <v>763</v>
      </c>
      <c r="G2">
        <v>2600000</v>
      </c>
      <c r="H2" t="s">
        <v>748</v>
      </c>
      <c r="I2">
        <v>2600000</v>
      </c>
      <c r="J2" t="s">
        <v>748</v>
      </c>
      <c r="K2" t="s">
        <v>778</v>
      </c>
      <c r="L2" t="s">
        <v>763</v>
      </c>
      <c r="M2" t="s">
        <v>763</v>
      </c>
      <c r="N2" t="s">
        <v>763</v>
      </c>
      <c r="O2" t="s">
        <v>763</v>
      </c>
      <c r="P2" t="s">
        <v>779</v>
      </c>
      <c r="Q2" t="s">
        <v>1509</v>
      </c>
      <c r="R2" t="s">
        <v>1510</v>
      </c>
      <c r="S2" s="38">
        <v>58002097</v>
      </c>
      <c r="T2" s="55">
        <f>I2</f>
        <v>2600000</v>
      </c>
      <c r="U2">
        <v>769231</v>
      </c>
    </row>
    <row r="3" spans="1:21">
      <c r="A3" t="s">
        <v>774</v>
      </c>
      <c r="B3" t="s">
        <v>701</v>
      </c>
      <c r="C3" t="s">
        <v>1511</v>
      </c>
      <c r="D3" t="s">
        <v>787</v>
      </c>
      <c r="E3" t="s">
        <v>788</v>
      </c>
      <c r="F3" t="s">
        <v>763</v>
      </c>
      <c r="G3">
        <v>3700000</v>
      </c>
      <c r="H3" t="s">
        <v>748</v>
      </c>
      <c r="I3">
        <v>3700000</v>
      </c>
      <c r="J3" t="s">
        <v>748</v>
      </c>
      <c r="K3" t="s">
        <v>879</v>
      </c>
      <c r="L3" t="s">
        <v>763</v>
      </c>
      <c r="M3" t="s">
        <v>763</v>
      </c>
      <c r="N3" t="s">
        <v>763</v>
      </c>
      <c r="O3" t="s">
        <v>763</v>
      </c>
      <c r="P3" t="s">
        <v>779</v>
      </c>
      <c r="Q3" t="s">
        <v>1512</v>
      </c>
      <c r="R3" t="s">
        <v>790</v>
      </c>
      <c r="S3" s="38">
        <v>58002177</v>
      </c>
      <c r="T3" s="55">
        <f t="shared" ref="T3:T31" si="0">I3</f>
        <v>3700000</v>
      </c>
      <c r="U3">
        <v>1179769</v>
      </c>
    </row>
    <row r="4" spans="1:21">
      <c r="A4" t="s">
        <v>774</v>
      </c>
      <c r="B4" t="s">
        <v>701</v>
      </c>
      <c r="C4" t="s">
        <v>1513</v>
      </c>
      <c r="D4" t="s">
        <v>813</v>
      </c>
      <c r="E4" t="s">
        <v>814</v>
      </c>
      <c r="F4" t="s">
        <v>815</v>
      </c>
      <c r="G4">
        <v>4000000</v>
      </c>
      <c r="H4" t="s">
        <v>748</v>
      </c>
      <c r="I4">
        <v>4000000</v>
      </c>
      <c r="J4" t="s">
        <v>748</v>
      </c>
      <c r="K4" t="s">
        <v>879</v>
      </c>
      <c r="L4" t="s">
        <v>763</v>
      </c>
      <c r="M4" t="s">
        <v>763</v>
      </c>
      <c r="N4" t="s">
        <v>763</v>
      </c>
      <c r="O4" t="s">
        <v>763</v>
      </c>
      <c r="P4" t="s">
        <v>779</v>
      </c>
      <c r="Q4" t="s">
        <v>1514</v>
      </c>
      <c r="R4" t="s">
        <v>816</v>
      </c>
      <c r="S4" s="38">
        <v>58002098</v>
      </c>
      <c r="T4" s="55">
        <f t="shared" si="0"/>
        <v>4000000</v>
      </c>
      <c r="U4">
        <v>925000</v>
      </c>
    </row>
    <row r="5" spans="1:21">
      <c r="A5" t="s">
        <v>774</v>
      </c>
      <c r="B5" t="s">
        <v>701</v>
      </c>
      <c r="C5" t="s">
        <v>1515</v>
      </c>
      <c r="D5" t="s">
        <v>810</v>
      </c>
      <c r="E5" t="s">
        <v>811</v>
      </c>
      <c r="F5" t="s">
        <v>763</v>
      </c>
      <c r="G5">
        <v>200000</v>
      </c>
      <c r="H5" t="s">
        <v>24</v>
      </c>
      <c r="I5">
        <v>83000</v>
      </c>
      <c r="J5" t="s">
        <v>748</v>
      </c>
      <c r="K5" t="s">
        <v>1516</v>
      </c>
      <c r="L5" t="s">
        <v>763</v>
      </c>
      <c r="M5" t="s">
        <v>763</v>
      </c>
      <c r="N5" t="s">
        <v>763</v>
      </c>
      <c r="O5" t="s">
        <v>763</v>
      </c>
      <c r="P5" t="s">
        <v>779</v>
      </c>
      <c r="Q5" t="s">
        <v>1517</v>
      </c>
      <c r="R5" t="s">
        <v>812</v>
      </c>
      <c r="S5" s="38">
        <v>54262</v>
      </c>
      <c r="T5" s="55">
        <f t="shared" si="0"/>
        <v>83000</v>
      </c>
      <c r="U5" t="e">
        <v>#N/A</v>
      </c>
    </row>
    <row r="6" spans="1:21">
      <c r="A6" t="s">
        <v>774</v>
      </c>
      <c r="B6" t="s">
        <v>701</v>
      </c>
      <c r="C6" t="s">
        <v>775</v>
      </c>
      <c r="D6" t="s">
        <v>776</v>
      </c>
      <c r="E6" t="s">
        <v>777</v>
      </c>
      <c r="F6" t="s">
        <v>763</v>
      </c>
      <c r="G6">
        <v>231000</v>
      </c>
      <c r="H6" t="s">
        <v>748</v>
      </c>
      <c r="I6">
        <v>231000</v>
      </c>
      <c r="J6" t="s">
        <v>748</v>
      </c>
      <c r="K6" t="s">
        <v>778</v>
      </c>
      <c r="L6" t="s">
        <v>763</v>
      </c>
      <c r="M6" t="s">
        <v>763</v>
      </c>
      <c r="N6" t="s">
        <v>763</v>
      </c>
      <c r="O6" t="s">
        <v>763</v>
      </c>
      <c r="P6" t="s">
        <v>779</v>
      </c>
      <c r="Q6" t="s">
        <v>780</v>
      </c>
      <c r="R6" t="s">
        <v>781</v>
      </c>
      <c r="S6" s="38">
        <v>56621345</v>
      </c>
      <c r="T6" s="55">
        <f t="shared" si="0"/>
        <v>231000</v>
      </c>
      <c r="U6" t="e">
        <v>#N/A</v>
      </c>
    </row>
    <row r="7" spans="1:21">
      <c r="A7" t="s">
        <v>774</v>
      </c>
      <c r="B7" t="s">
        <v>701</v>
      </c>
      <c r="C7" t="s">
        <v>775</v>
      </c>
      <c r="D7" t="s">
        <v>828</v>
      </c>
      <c r="E7" t="s">
        <v>840</v>
      </c>
      <c r="F7" t="s">
        <v>763</v>
      </c>
      <c r="G7">
        <v>1000000</v>
      </c>
      <c r="H7" t="s">
        <v>748</v>
      </c>
      <c r="I7">
        <v>1000000</v>
      </c>
      <c r="J7" t="s">
        <v>748</v>
      </c>
      <c r="K7" t="s">
        <v>879</v>
      </c>
      <c r="L7" t="s">
        <v>763</v>
      </c>
      <c r="M7" t="s">
        <v>763</v>
      </c>
      <c r="N7" t="s">
        <v>763</v>
      </c>
      <c r="O7" t="s">
        <v>763</v>
      </c>
      <c r="P7" t="s">
        <v>779</v>
      </c>
      <c r="Q7" t="s">
        <v>1518</v>
      </c>
      <c r="R7" t="s">
        <v>841</v>
      </c>
      <c r="S7" s="38">
        <v>56620699</v>
      </c>
      <c r="T7" s="55">
        <f t="shared" si="0"/>
        <v>1000000</v>
      </c>
      <c r="U7">
        <v>115400</v>
      </c>
    </row>
    <row r="8" spans="1:21">
      <c r="A8" t="s">
        <v>774</v>
      </c>
      <c r="B8" t="s">
        <v>701</v>
      </c>
      <c r="C8" t="s">
        <v>782</v>
      </c>
      <c r="D8" t="s">
        <v>783</v>
      </c>
      <c r="E8" t="s">
        <v>784</v>
      </c>
      <c r="F8" t="s">
        <v>763</v>
      </c>
      <c r="G8">
        <v>170000</v>
      </c>
      <c r="H8" t="s">
        <v>748</v>
      </c>
      <c r="I8">
        <v>170000</v>
      </c>
      <c r="J8" t="s">
        <v>748</v>
      </c>
      <c r="K8" t="s">
        <v>778</v>
      </c>
      <c r="L8" t="s">
        <v>763</v>
      </c>
      <c r="M8" t="s">
        <v>763</v>
      </c>
      <c r="N8" t="s">
        <v>763</v>
      </c>
      <c r="O8" t="s">
        <v>763</v>
      </c>
      <c r="P8" t="s">
        <v>779</v>
      </c>
      <c r="Q8" t="s">
        <v>785</v>
      </c>
      <c r="R8" t="s">
        <v>786</v>
      </c>
      <c r="S8" t="s">
        <v>763</v>
      </c>
      <c r="T8" s="55">
        <f t="shared" si="0"/>
        <v>170000</v>
      </c>
      <c r="U8" t="e">
        <v>#N/A</v>
      </c>
    </row>
    <row r="9" spans="1:21">
      <c r="A9" t="s">
        <v>774</v>
      </c>
      <c r="B9" t="s">
        <v>701</v>
      </c>
      <c r="C9" t="s">
        <v>791</v>
      </c>
      <c r="D9" t="s">
        <v>800</v>
      </c>
      <c r="E9" t="s">
        <v>801</v>
      </c>
      <c r="F9" t="s">
        <v>763</v>
      </c>
      <c r="G9">
        <v>50000</v>
      </c>
      <c r="H9" t="s">
        <v>24</v>
      </c>
      <c r="I9">
        <v>41500</v>
      </c>
      <c r="J9" t="s">
        <v>748</v>
      </c>
      <c r="K9" t="s">
        <v>789</v>
      </c>
      <c r="L9" t="s">
        <v>763</v>
      </c>
      <c r="M9" t="s">
        <v>763</v>
      </c>
      <c r="N9" t="s">
        <v>763</v>
      </c>
      <c r="O9" t="s">
        <v>763</v>
      </c>
      <c r="P9" t="s">
        <v>779</v>
      </c>
      <c r="Q9" t="s">
        <v>802</v>
      </c>
      <c r="R9" t="s">
        <v>803</v>
      </c>
      <c r="S9" s="38">
        <v>58003715</v>
      </c>
      <c r="T9" s="55">
        <f t="shared" si="0"/>
        <v>41500</v>
      </c>
      <c r="U9">
        <v>3846</v>
      </c>
    </row>
    <row r="10" spans="1:21">
      <c r="A10" t="s">
        <v>774</v>
      </c>
      <c r="B10" t="s">
        <v>701</v>
      </c>
      <c r="C10" t="s">
        <v>791</v>
      </c>
      <c r="D10" t="s">
        <v>792</v>
      </c>
      <c r="E10" t="s">
        <v>1519</v>
      </c>
      <c r="F10" t="s">
        <v>793</v>
      </c>
      <c r="G10">
        <v>2500000</v>
      </c>
      <c r="H10" t="s">
        <v>24</v>
      </c>
      <c r="I10">
        <v>2076000</v>
      </c>
      <c r="J10" t="s">
        <v>748</v>
      </c>
      <c r="K10" t="s">
        <v>789</v>
      </c>
      <c r="L10" t="s">
        <v>763</v>
      </c>
      <c r="M10" t="s">
        <v>763</v>
      </c>
      <c r="N10" t="s">
        <v>763</v>
      </c>
      <c r="O10" t="s">
        <v>763</v>
      </c>
      <c r="P10" t="s">
        <v>779</v>
      </c>
      <c r="Q10" t="s">
        <v>794</v>
      </c>
      <c r="R10" t="s">
        <v>795</v>
      </c>
      <c r="S10" s="38">
        <v>58002068</v>
      </c>
      <c r="T10" s="55">
        <f t="shared" si="0"/>
        <v>2076000</v>
      </c>
      <c r="U10">
        <v>245385</v>
      </c>
    </row>
    <row r="11" spans="1:21">
      <c r="A11" t="s">
        <v>774</v>
      </c>
      <c r="B11" t="s">
        <v>701</v>
      </c>
      <c r="C11" t="s">
        <v>791</v>
      </c>
      <c r="D11" t="s">
        <v>796</v>
      </c>
      <c r="E11" t="s">
        <v>797</v>
      </c>
      <c r="F11" t="s">
        <v>1520</v>
      </c>
      <c r="G11">
        <v>200000</v>
      </c>
      <c r="H11" t="s">
        <v>24</v>
      </c>
      <c r="I11">
        <v>166100</v>
      </c>
      <c r="J11" t="s">
        <v>748</v>
      </c>
      <c r="K11" t="s">
        <v>789</v>
      </c>
      <c r="L11" t="s">
        <v>763</v>
      </c>
      <c r="M11" t="s">
        <v>763</v>
      </c>
      <c r="N11" t="s">
        <v>763</v>
      </c>
      <c r="O11" t="s">
        <v>763</v>
      </c>
      <c r="P11" t="s">
        <v>779</v>
      </c>
      <c r="Q11" t="s">
        <v>798</v>
      </c>
      <c r="R11" t="s">
        <v>799</v>
      </c>
      <c r="S11" s="38">
        <v>58002058</v>
      </c>
      <c r="T11" s="55">
        <f t="shared" si="0"/>
        <v>166100</v>
      </c>
      <c r="U11">
        <v>15385</v>
      </c>
    </row>
    <row r="12" spans="1:21">
      <c r="A12" t="s">
        <v>774</v>
      </c>
      <c r="B12" t="s">
        <v>701</v>
      </c>
      <c r="C12" t="s">
        <v>804</v>
      </c>
      <c r="D12" t="s">
        <v>810</v>
      </c>
      <c r="E12" t="s">
        <v>873</v>
      </c>
      <c r="F12" t="s">
        <v>1521</v>
      </c>
      <c r="G12">
        <v>400000</v>
      </c>
      <c r="H12" t="s">
        <v>24</v>
      </c>
      <c r="I12">
        <v>332150</v>
      </c>
      <c r="J12" t="s">
        <v>748</v>
      </c>
      <c r="K12" t="s">
        <v>874</v>
      </c>
      <c r="L12" t="s">
        <v>763</v>
      </c>
      <c r="M12" t="s">
        <v>763</v>
      </c>
      <c r="N12" t="s">
        <v>763</v>
      </c>
      <c r="O12" t="s">
        <v>763</v>
      </c>
      <c r="P12" t="s">
        <v>779</v>
      </c>
      <c r="Q12" t="s">
        <v>875</v>
      </c>
      <c r="R12" t="s">
        <v>876</v>
      </c>
      <c r="S12" s="38">
        <v>54236</v>
      </c>
      <c r="T12" s="55">
        <f t="shared" si="0"/>
        <v>332150</v>
      </c>
      <c r="U12" t="e">
        <v>#N/A</v>
      </c>
    </row>
    <row r="13" spans="1:21">
      <c r="A13" t="s">
        <v>774</v>
      </c>
      <c r="B13" t="s">
        <v>701</v>
      </c>
      <c r="C13" t="s">
        <v>804</v>
      </c>
      <c r="D13" t="s">
        <v>828</v>
      </c>
      <c r="E13" t="s">
        <v>829</v>
      </c>
      <c r="F13" t="s">
        <v>830</v>
      </c>
      <c r="G13">
        <v>7600000</v>
      </c>
      <c r="H13" t="s">
        <v>24</v>
      </c>
      <c r="I13">
        <v>6310720</v>
      </c>
      <c r="J13" t="s">
        <v>748</v>
      </c>
      <c r="K13" t="s">
        <v>789</v>
      </c>
      <c r="L13" t="s">
        <v>763</v>
      </c>
      <c r="M13" t="s">
        <v>831</v>
      </c>
      <c r="N13" t="s">
        <v>763</v>
      </c>
      <c r="O13" t="s">
        <v>763</v>
      </c>
      <c r="P13" t="s">
        <v>779</v>
      </c>
      <c r="Q13" t="s">
        <v>832</v>
      </c>
      <c r="R13" t="s">
        <v>833</v>
      </c>
      <c r="S13" s="38">
        <v>58002091</v>
      </c>
      <c r="T13" s="55">
        <f t="shared" si="0"/>
        <v>6310720</v>
      </c>
      <c r="U13">
        <v>2033077</v>
      </c>
    </row>
    <row r="14" spans="1:21">
      <c r="A14" t="s">
        <v>774</v>
      </c>
      <c r="B14" t="s">
        <v>701</v>
      </c>
      <c r="C14" t="s">
        <v>804</v>
      </c>
      <c r="D14" t="s">
        <v>810</v>
      </c>
      <c r="E14" t="s">
        <v>834</v>
      </c>
      <c r="F14" t="s">
        <v>1522</v>
      </c>
      <c r="G14">
        <v>700000</v>
      </c>
      <c r="H14" t="s">
        <v>24</v>
      </c>
      <c r="I14">
        <v>581250</v>
      </c>
      <c r="J14" t="s">
        <v>748</v>
      </c>
      <c r="K14" t="s">
        <v>789</v>
      </c>
      <c r="L14" t="s">
        <v>763</v>
      </c>
      <c r="M14" t="s">
        <v>763</v>
      </c>
      <c r="N14" t="s">
        <v>763</v>
      </c>
      <c r="O14" t="s">
        <v>763</v>
      </c>
      <c r="P14" t="s">
        <v>779</v>
      </c>
      <c r="Q14" t="s">
        <v>835</v>
      </c>
      <c r="R14" t="s">
        <v>836</v>
      </c>
      <c r="S14" s="38">
        <v>58002152</v>
      </c>
      <c r="T14" s="55">
        <f t="shared" si="0"/>
        <v>581250</v>
      </c>
      <c r="U14">
        <v>192308</v>
      </c>
    </row>
    <row r="15" spans="1:21">
      <c r="A15" t="s">
        <v>774</v>
      </c>
      <c r="B15" t="s">
        <v>701</v>
      </c>
      <c r="C15" t="s">
        <v>804</v>
      </c>
      <c r="D15" t="s">
        <v>828</v>
      </c>
      <c r="E15" t="s">
        <v>1523</v>
      </c>
      <c r="F15" t="s">
        <v>857</v>
      </c>
      <c r="G15">
        <v>1540000</v>
      </c>
      <c r="H15" t="s">
        <v>24</v>
      </c>
      <c r="I15">
        <v>1278750</v>
      </c>
      <c r="J15" t="s">
        <v>748</v>
      </c>
      <c r="K15" t="s">
        <v>789</v>
      </c>
      <c r="L15" t="s">
        <v>763</v>
      </c>
      <c r="M15" t="s">
        <v>763</v>
      </c>
      <c r="N15" t="s">
        <v>763</v>
      </c>
      <c r="O15" t="s">
        <v>763</v>
      </c>
      <c r="P15" t="s">
        <v>779</v>
      </c>
      <c r="Q15" t="s">
        <v>858</v>
      </c>
      <c r="R15" t="s">
        <v>859</v>
      </c>
      <c r="S15" s="38">
        <v>58002090</v>
      </c>
      <c r="T15" s="55">
        <f t="shared" si="0"/>
        <v>1278750</v>
      </c>
      <c r="U15">
        <v>118462</v>
      </c>
    </row>
    <row r="16" spans="1:21">
      <c r="A16" t="s">
        <v>774</v>
      </c>
      <c r="B16" t="s">
        <v>701</v>
      </c>
      <c r="C16" t="s">
        <v>804</v>
      </c>
      <c r="D16" t="s">
        <v>805</v>
      </c>
      <c r="E16" t="s">
        <v>842</v>
      </c>
      <c r="F16" t="s">
        <v>763</v>
      </c>
      <c r="G16">
        <v>800000</v>
      </c>
      <c r="H16" t="s">
        <v>24</v>
      </c>
      <c r="I16">
        <v>664300</v>
      </c>
      <c r="J16" t="s">
        <v>748</v>
      </c>
      <c r="K16" t="s">
        <v>789</v>
      </c>
      <c r="L16" t="s">
        <v>763</v>
      </c>
      <c r="M16" t="s">
        <v>763</v>
      </c>
      <c r="N16" t="s">
        <v>763</v>
      </c>
      <c r="O16" t="s">
        <v>763</v>
      </c>
      <c r="P16" t="s">
        <v>779</v>
      </c>
      <c r="Q16" t="s">
        <v>843</v>
      </c>
      <c r="R16" t="s">
        <v>844</v>
      </c>
      <c r="S16" s="38">
        <v>58002207</v>
      </c>
      <c r="T16" s="55">
        <f t="shared" si="0"/>
        <v>664300</v>
      </c>
      <c r="U16">
        <v>61538</v>
      </c>
    </row>
    <row r="17" spans="1:21">
      <c r="A17" t="s">
        <v>774</v>
      </c>
      <c r="B17" t="s">
        <v>701</v>
      </c>
      <c r="C17" t="s">
        <v>804</v>
      </c>
      <c r="D17" t="s">
        <v>810</v>
      </c>
      <c r="E17" t="s">
        <v>821</v>
      </c>
      <c r="F17" t="s">
        <v>763</v>
      </c>
      <c r="G17">
        <v>300000</v>
      </c>
      <c r="H17" t="s">
        <v>24</v>
      </c>
      <c r="I17">
        <v>250000</v>
      </c>
      <c r="J17" t="s">
        <v>748</v>
      </c>
      <c r="K17" t="s">
        <v>789</v>
      </c>
      <c r="L17" t="s">
        <v>763</v>
      </c>
      <c r="M17" t="s">
        <v>763</v>
      </c>
      <c r="N17" t="s">
        <v>763</v>
      </c>
      <c r="O17" t="s">
        <v>763</v>
      </c>
      <c r="P17" t="s">
        <v>779</v>
      </c>
      <c r="Q17" t="s">
        <v>822</v>
      </c>
      <c r="R17" t="s">
        <v>823</v>
      </c>
      <c r="S17" s="38">
        <v>56620538</v>
      </c>
      <c r="T17" s="55">
        <f t="shared" si="0"/>
        <v>250000</v>
      </c>
      <c r="U17">
        <v>390000</v>
      </c>
    </row>
    <row r="18" spans="1:21">
      <c r="A18" t="s">
        <v>774</v>
      </c>
      <c r="B18" t="s">
        <v>701</v>
      </c>
      <c r="C18" t="s">
        <v>804</v>
      </c>
      <c r="D18" t="s">
        <v>848</v>
      </c>
      <c r="E18" t="s">
        <v>292</v>
      </c>
      <c r="F18" t="s">
        <v>1524</v>
      </c>
      <c r="G18">
        <v>28900000</v>
      </c>
      <c r="H18" t="s">
        <v>24</v>
      </c>
      <c r="I18">
        <v>24000000</v>
      </c>
      <c r="J18" t="s">
        <v>748</v>
      </c>
      <c r="K18" t="s">
        <v>789</v>
      </c>
      <c r="L18" t="s">
        <v>763</v>
      </c>
      <c r="M18" t="s">
        <v>763</v>
      </c>
      <c r="N18" t="s">
        <v>763</v>
      </c>
      <c r="O18" t="s">
        <v>763</v>
      </c>
      <c r="P18" t="s">
        <v>779</v>
      </c>
      <c r="Q18" t="s">
        <v>849</v>
      </c>
      <c r="R18" t="s">
        <v>850</v>
      </c>
      <c r="S18" s="38">
        <v>58002193</v>
      </c>
      <c r="T18" s="55">
        <f t="shared" si="0"/>
        <v>24000000</v>
      </c>
      <c r="U18">
        <v>3545307</v>
      </c>
    </row>
    <row r="19" spans="1:21">
      <c r="A19" t="s">
        <v>774</v>
      </c>
      <c r="B19" t="s">
        <v>701</v>
      </c>
      <c r="C19" t="s">
        <v>804</v>
      </c>
      <c r="D19" t="s">
        <v>810</v>
      </c>
      <c r="E19" t="s">
        <v>851</v>
      </c>
      <c r="F19" t="s">
        <v>763</v>
      </c>
      <c r="G19">
        <v>600000</v>
      </c>
      <c r="H19" t="s">
        <v>24</v>
      </c>
      <c r="I19">
        <v>498200</v>
      </c>
      <c r="J19" t="s">
        <v>748</v>
      </c>
      <c r="K19" t="s">
        <v>789</v>
      </c>
      <c r="L19" t="s">
        <v>763</v>
      </c>
      <c r="M19" t="s">
        <v>763</v>
      </c>
      <c r="N19" t="s">
        <v>763</v>
      </c>
      <c r="O19" t="s">
        <v>763</v>
      </c>
      <c r="P19" t="s">
        <v>779</v>
      </c>
      <c r="Q19" t="s">
        <v>852</v>
      </c>
      <c r="R19" t="s">
        <v>853</v>
      </c>
      <c r="S19" s="38">
        <v>54165</v>
      </c>
      <c r="T19" s="55">
        <f t="shared" si="0"/>
        <v>498200</v>
      </c>
      <c r="U19" t="e">
        <v>#N/A</v>
      </c>
    </row>
    <row r="20" spans="1:21">
      <c r="A20" t="s">
        <v>774</v>
      </c>
      <c r="B20" t="s">
        <v>701</v>
      </c>
      <c r="C20" t="s">
        <v>804</v>
      </c>
      <c r="D20" t="s">
        <v>800</v>
      </c>
      <c r="E20" t="s">
        <v>837</v>
      </c>
      <c r="F20" t="s">
        <v>763</v>
      </c>
      <c r="G20">
        <v>400000</v>
      </c>
      <c r="H20" t="s">
        <v>24</v>
      </c>
      <c r="I20">
        <v>332150</v>
      </c>
      <c r="J20" t="s">
        <v>748</v>
      </c>
      <c r="K20" t="s">
        <v>789</v>
      </c>
      <c r="L20" t="s">
        <v>763</v>
      </c>
      <c r="M20" t="s">
        <v>763</v>
      </c>
      <c r="N20" t="s">
        <v>763</v>
      </c>
      <c r="O20" t="s">
        <v>763</v>
      </c>
      <c r="P20" t="s">
        <v>779</v>
      </c>
      <c r="Q20" t="s">
        <v>838</v>
      </c>
      <c r="R20" t="s">
        <v>839</v>
      </c>
      <c r="S20" s="38">
        <v>58002051</v>
      </c>
      <c r="T20" s="55">
        <f t="shared" si="0"/>
        <v>332150</v>
      </c>
      <c r="U20">
        <v>350754</v>
      </c>
    </row>
    <row r="21" spans="1:21">
      <c r="A21" t="s">
        <v>774</v>
      </c>
      <c r="B21" t="s">
        <v>701</v>
      </c>
      <c r="C21" t="s">
        <v>804</v>
      </c>
      <c r="D21" t="s">
        <v>805</v>
      </c>
      <c r="E21" t="s">
        <v>806</v>
      </c>
      <c r="F21" t="s">
        <v>807</v>
      </c>
      <c r="G21">
        <v>175000</v>
      </c>
      <c r="H21" t="s">
        <v>24</v>
      </c>
      <c r="I21">
        <v>145300</v>
      </c>
      <c r="J21" t="s">
        <v>748</v>
      </c>
      <c r="K21" t="s">
        <v>789</v>
      </c>
      <c r="L21" t="s">
        <v>763</v>
      </c>
      <c r="M21" t="s">
        <v>763</v>
      </c>
      <c r="N21" t="s">
        <v>763</v>
      </c>
      <c r="O21" t="s">
        <v>763</v>
      </c>
      <c r="P21" t="s">
        <v>779</v>
      </c>
      <c r="Q21" t="s">
        <v>808</v>
      </c>
      <c r="R21" t="s">
        <v>809</v>
      </c>
      <c r="S21" s="38">
        <v>52274</v>
      </c>
      <c r="T21" s="55">
        <f t="shared" si="0"/>
        <v>145300</v>
      </c>
      <c r="U21" t="e">
        <v>#N/A</v>
      </c>
    </row>
    <row r="22" spans="1:21">
      <c r="A22" t="s">
        <v>774</v>
      </c>
      <c r="B22" t="s">
        <v>701</v>
      </c>
      <c r="C22" t="s">
        <v>804</v>
      </c>
      <c r="D22" t="s">
        <v>860</v>
      </c>
      <c r="E22" t="s">
        <v>861</v>
      </c>
      <c r="F22" t="s">
        <v>1525</v>
      </c>
      <c r="G22">
        <v>85000</v>
      </c>
      <c r="H22" t="s">
        <v>24</v>
      </c>
      <c r="I22">
        <v>70600</v>
      </c>
      <c r="J22" t="s">
        <v>748</v>
      </c>
      <c r="K22" t="s">
        <v>789</v>
      </c>
      <c r="L22" t="s">
        <v>763</v>
      </c>
      <c r="M22" t="s">
        <v>763</v>
      </c>
      <c r="N22" t="s">
        <v>763</v>
      </c>
      <c r="O22" t="s">
        <v>763</v>
      </c>
      <c r="P22" t="s">
        <v>779</v>
      </c>
      <c r="Q22" t="s">
        <v>862</v>
      </c>
      <c r="R22" t="s">
        <v>863</v>
      </c>
      <c r="S22" s="38">
        <v>50913</v>
      </c>
      <c r="T22" s="55">
        <f t="shared" si="0"/>
        <v>70600</v>
      </c>
      <c r="U22" t="e">
        <v>#N/A</v>
      </c>
    </row>
    <row r="23" spans="1:21">
      <c r="A23" t="s">
        <v>774</v>
      </c>
      <c r="B23" t="s">
        <v>701</v>
      </c>
      <c r="C23" t="s">
        <v>804</v>
      </c>
      <c r="D23" t="s">
        <v>810</v>
      </c>
      <c r="E23" t="s">
        <v>845</v>
      </c>
      <c r="F23" t="s">
        <v>763</v>
      </c>
      <c r="G23">
        <v>600000</v>
      </c>
      <c r="H23" t="s">
        <v>24</v>
      </c>
      <c r="I23">
        <v>500000</v>
      </c>
      <c r="J23" t="s">
        <v>748</v>
      </c>
      <c r="K23" t="s">
        <v>789</v>
      </c>
      <c r="L23" t="s">
        <v>763</v>
      </c>
      <c r="M23" t="s">
        <v>763</v>
      </c>
      <c r="N23" t="s">
        <v>763</v>
      </c>
      <c r="O23" t="s">
        <v>763</v>
      </c>
      <c r="P23" t="s">
        <v>779</v>
      </c>
      <c r="Q23" t="s">
        <v>846</v>
      </c>
      <c r="R23" t="s">
        <v>847</v>
      </c>
      <c r="S23" s="38">
        <v>58002154</v>
      </c>
      <c r="T23" s="55">
        <f t="shared" si="0"/>
        <v>500000</v>
      </c>
      <c r="U23">
        <v>184615</v>
      </c>
    </row>
    <row r="24" spans="1:21">
      <c r="A24" t="s">
        <v>774</v>
      </c>
      <c r="B24" t="s">
        <v>701</v>
      </c>
      <c r="C24" t="s">
        <v>804</v>
      </c>
      <c r="D24" t="s">
        <v>805</v>
      </c>
      <c r="E24" t="s">
        <v>867</v>
      </c>
      <c r="F24" t="s">
        <v>763</v>
      </c>
      <c r="G24">
        <v>300000</v>
      </c>
      <c r="H24" t="s">
        <v>24</v>
      </c>
      <c r="I24">
        <v>249100</v>
      </c>
      <c r="J24" t="s">
        <v>748</v>
      </c>
      <c r="K24" t="s">
        <v>789</v>
      </c>
      <c r="L24" t="s">
        <v>763</v>
      </c>
      <c r="M24" t="s">
        <v>763</v>
      </c>
      <c r="N24" t="s">
        <v>763</v>
      </c>
      <c r="O24" t="s">
        <v>763</v>
      </c>
      <c r="P24" t="s">
        <v>779</v>
      </c>
      <c r="Q24" t="s">
        <v>868</v>
      </c>
      <c r="R24" t="s">
        <v>869</v>
      </c>
      <c r="S24" s="38">
        <v>58002206</v>
      </c>
      <c r="T24" s="55">
        <f t="shared" si="0"/>
        <v>249100</v>
      </c>
      <c r="U24">
        <v>23077</v>
      </c>
    </row>
    <row r="25" spans="1:21">
      <c r="A25" t="s">
        <v>774</v>
      </c>
      <c r="B25" t="s">
        <v>701</v>
      </c>
      <c r="C25" t="s">
        <v>804</v>
      </c>
      <c r="D25" t="s">
        <v>828</v>
      </c>
      <c r="E25" t="s">
        <v>1526</v>
      </c>
      <c r="F25" t="s">
        <v>870</v>
      </c>
      <c r="G25">
        <v>6000000</v>
      </c>
      <c r="H25" t="s">
        <v>24</v>
      </c>
      <c r="I25">
        <v>4982150</v>
      </c>
      <c r="J25" t="s">
        <v>748</v>
      </c>
      <c r="K25" t="s">
        <v>789</v>
      </c>
      <c r="L25" t="s">
        <v>763</v>
      </c>
      <c r="M25" t="s">
        <v>763</v>
      </c>
      <c r="N25" t="s">
        <v>763</v>
      </c>
      <c r="O25" t="s">
        <v>763</v>
      </c>
      <c r="P25" t="s">
        <v>779</v>
      </c>
      <c r="Q25" t="s">
        <v>871</v>
      </c>
      <c r="R25" t="s">
        <v>872</v>
      </c>
      <c r="S25" s="38">
        <v>58002089</v>
      </c>
      <c r="T25" s="55">
        <f t="shared" si="0"/>
        <v>4982150</v>
      </c>
      <c r="U25">
        <v>461538</v>
      </c>
    </row>
    <row r="26" spans="1:21">
      <c r="A26" t="s">
        <v>774</v>
      </c>
      <c r="B26" t="s">
        <v>701</v>
      </c>
      <c r="C26" t="s">
        <v>804</v>
      </c>
      <c r="D26" t="s">
        <v>824</v>
      </c>
      <c r="E26" t="s">
        <v>854</v>
      </c>
      <c r="F26" t="s">
        <v>1527</v>
      </c>
      <c r="G26">
        <v>90000</v>
      </c>
      <c r="H26" t="s">
        <v>24</v>
      </c>
      <c r="I26">
        <v>75000</v>
      </c>
      <c r="J26" t="s">
        <v>748</v>
      </c>
      <c r="K26" t="s">
        <v>789</v>
      </c>
      <c r="L26" t="s">
        <v>763</v>
      </c>
      <c r="M26" t="s">
        <v>763</v>
      </c>
      <c r="N26" t="s">
        <v>763</v>
      </c>
      <c r="O26" t="s">
        <v>763</v>
      </c>
      <c r="P26" t="s">
        <v>779</v>
      </c>
      <c r="Q26" t="s">
        <v>855</v>
      </c>
      <c r="R26" t="s">
        <v>856</v>
      </c>
      <c r="S26" s="38">
        <v>58002120</v>
      </c>
      <c r="T26" s="55">
        <f t="shared" si="0"/>
        <v>75000</v>
      </c>
      <c r="U26">
        <v>6923</v>
      </c>
    </row>
    <row r="27" spans="1:21">
      <c r="A27" t="s">
        <v>774</v>
      </c>
      <c r="B27" t="s">
        <v>701</v>
      </c>
      <c r="C27" t="s">
        <v>804</v>
      </c>
      <c r="D27" t="s">
        <v>824</v>
      </c>
      <c r="E27" t="s">
        <v>825</v>
      </c>
      <c r="F27" t="s">
        <v>1528</v>
      </c>
      <c r="G27">
        <v>200000</v>
      </c>
      <c r="H27" t="s">
        <v>24</v>
      </c>
      <c r="I27">
        <v>166100</v>
      </c>
      <c r="J27" t="s">
        <v>748</v>
      </c>
      <c r="K27" t="s">
        <v>789</v>
      </c>
      <c r="L27" t="s">
        <v>763</v>
      </c>
      <c r="M27" t="s">
        <v>763</v>
      </c>
      <c r="N27" t="s">
        <v>763</v>
      </c>
      <c r="O27" t="s">
        <v>763</v>
      </c>
      <c r="P27" t="s">
        <v>779</v>
      </c>
      <c r="Q27" t="s">
        <v>826</v>
      </c>
      <c r="R27" t="s">
        <v>827</v>
      </c>
      <c r="S27" s="38">
        <v>58002121</v>
      </c>
      <c r="T27" s="55">
        <f t="shared" si="0"/>
        <v>166100</v>
      </c>
      <c r="U27">
        <v>23077</v>
      </c>
    </row>
    <row r="28" spans="1:21">
      <c r="A28" t="s">
        <v>774</v>
      </c>
      <c r="B28" t="s">
        <v>701</v>
      </c>
      <c r="C28" t="s">
        <v>804</v>
      </c>
      <c r="D28" t="s">
        <v>864</v>
      </c>
      <c r="E28" t="s">
        <v>360</v>
      </c>
      <c r="F28" t="s">
        <v>763</v>
      </c>
      <c r="G28">
        <v>4000000</v>
      </c>
      <c r="H28" t="s">
        <v>24</v>
      </c>
      <c r="I28">
        <v>3321500</v>
      </c>
      <c r="J28" t="s">
        <v>748</v>
      </c>
      <c r="K28" t="s">
        <v>789</v>
      </c>
      <c r="L28" t="s">
        <v>763</v>
      </c>
      <c r="M28" t="s">
        <v>831</v>
      </c>
      <c r="N28" t="s">
        <v>763</v>
      </c>
      <c r="O28" t="s">
        <v>763</v>
      </c>
      <c r="P28" t="s">
        <v>779</v>
      </c>
      <c r="Q28" t="s">
        <v>865</v>
      </c>
      <c r="R28" t="s">
        <v>866</v>
      </c>
      <c r="S28" s="38">
        <v>58003033</v>
      </c>
      <c r="T28" s="55">
        <f t="shared" si="0"/>
        <v>3321500</v>
      </c>
      <c r="U28">
        <v>3076923</v>
      </c>
    </row>
    <row r="29" spans="1:21">
      <c r="A29" t="s">
        <v>774</v>
      </c>
      <c r="B29" t="s">
        <v>701</v>
      </c>
      <c r="C29" t="s">
        <v>804</v>
      </c>
      <c r="D29" t="s">
        <v>817</v>
      </c>
      <c r="E29" t="s">
        <v>818</v>
      </c>
      <c r="F29" t="s">
        <v>763</v>
      </c>
      <c r="G29">
        <v>300000</v>
      </c>
      <c r="H29" t="s">
        <v>24</v>
      </c>
      <c r="I29">
        <v>249100</v>
      </c>
      <c r="J29" t="s">
        <v>748</v>
      </c>
      <c r="K29" t="s">
        <v>789</v>
      </c>
      <c r="L29" t="s">
        <v>763</v>
      </c>
      <c r="M29" t="s">
        <v>763</v>
      </c>
      <c r="N29" t="s">
        <v>763</v>
      </c>
      <c r="O29" t="s">
        <v>763</v>
      </c>
      <c r="P29" t="s">
        <v>779</v>
      </c>
      <c r="Q29" t="s">
        <v>819</v>
      </c>
      <c r="R29" t="s">
        <v>820</v>
      </c>
      <c r="S29" s="38">
        <v>58002172</v>
      </c>
      <c r="T29" s="55">
        <f t="shared" si="0"/>
        <v>249100</v>
      </c>
      <c r="U29">
        <v>100000</v>
      </c>
    </row>
    <row r="30" spans="1:21">
      <c r="A30" t="s">
        <v>877</v>
      </c>
      <c r="B30" t="s">
        <v>701</v>
      </c>
      <c r="C30" t="s">
        <v>878</v>
      </c>
      <c r="D30" t="s">
        <v>756</v>
      </c>
      <c r="E30" t="s">
        <v>76</v>
      </c>
      <c r="F30" t="s">
        <v>763</v>
      </c>
      <c r="G30">
        <v>102000000</v>
      </c>
      <c r="H30" t="s">
        <v>24</v>
      </c>
      <c r="I30">
        <v>102000000</v>
      </c>
      <c r="J30" t="s">
        <v>24</v>
      </c>
      <c r="K30" t="s">
        <v>879</v>
      </c>
      <c r="L30" t="s">
        <v>763</v>
      </c>
      <c r="M30" t="s">
        <v>763</v>
      </c>
      <c r="N30" t="s">
        <v>763</v>
      </c>
      <c r="O30" t="s">
        <v>763</v>
      </c>
      <c r="P30" t="s">
        <v>779</v>
      </c>
      <c r="Q30" t="s">
        <v>880</v>
      </c>
      <c r="R30" t="s">
        <v>881</v>
      </c>
      <c r="S30" s="38">
        <v>58003515</v>
      </c>
      <c r="T30" s="55">
        <f t="shared" si="0"/>
        <v>102000000</v>
      </c>
      <c r="U30">
        <v>4722222</v>
      </c>
    </row>
    <row r="31" spans="1:21">
      <c r="E31" t="s">
        <v>360</v>
      </c>
      <c r="I31">
        <v>3321500</v>
      </c>
      <c r="S31" s="34">
        <v>58003562</v>
      </c>
      <c r="T31" s="55">
        <f t="shared" si="0"/>
        <v>3321500</v>
      </c>
      <c r="U31">
        <v>230769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7"/>
  <sheetViews>
    <sheetView topLeftCell="B80" workbookViewId="0">
      <selection activeCell="C90" sqref="C90"/>
    </sheetView>
  </sheetViews>
  <sheetFormatPr defaultRowHeight="15"/>
  <cols>
    <col min="1" max="8" width="20.7109375" customWidth="1"/>
    <col min="9" max="9" width="13.7109375" customWidth="1"/>
  </cols>
  <sheetData>
    <row r="1" spans="1:10" ht="25.5">
      <c r="A1" s="43" t="s">
        <v>885</v>
      </c>
      <c r="B1" s="43" t="s">
        <v>18</v>
      </c>
      <c r="C1" s="44" t="s">
        <v>886</v>
      </c>
      <c r="D1" s="43" t="s">
        <v>887</v>
      </c>
      <c r="E1" s="43" t="s">
        <v>888</v>
      </c>
      <c r="F1" s="43" t="s">
        <v>889</v>
      </c>
      <c r="G1" s="43" t="s">
        <v>890</v>
      </c>
      <c r="H1" s="43" t="s">
        <v>891</v>
      </c>
      <c r="I1" s="43" t="s">
        <v>892</v>
      </c>
      <c r="J1" s="56" t="s">
        <v>764</v>
      </c>
    </row>
    <row r="2" spans="1:10" ht="25.5">
      <c r="A2" s="45">
        <v>79494876</v>
      </c>
      <c r="B2" s="45" t="s">
        <v>893</v>
      </c>
      <c r="C2" s="46">
        <v>58002233</v>
      </c>
      <c r="D2" s="45">
        <v>1041021</v>
      </c>
      <c r="E2" s="47" t="s">
        <v>894</v>
      </c>
      <c r="F2" s="48">
        <v>13513</v>
      </c>
      <c r="G2" s="49">
        <v>42152</v>
      </c>
      <c r="H2" s="45" t="s">
        <v>895</v>
      </c>
      <c r="I2" s="49"/>
      <c r="J2">
        <v>2192307</v>
      </c>
    </row>
    <row r="3" spans="1:10" ht="25.5">
      <c r="A3" s="45">
        <v>79494906</v>
      </c>
      <c r="B3" s="45" t="s">
        <v>893</v>
      </c>
      <c r="C3" s="46">
        <v>58029120</v>
      </c>
      <c r="D3" s="45">
        <v>11567577</v>
      </c>
      <c r="E3" s="47" t="s">
        <v>896</v>
      </c>
      <c r="F3" s="48">
        <v>4050</v>
      </c>
      <c r="G3" s="49">
        <v>42148</v>
      </c>
      <c r="H3" s="45" t="s">
        <v>895</v>
      </c>
      <c r="I3" s="49"/>
      <c r="J3">
        <v>285000</v>
      </c>
    </row>
    <row r="4" spans="1:10">
      <c r="A4" s="45">
        <v>79494927</v>
      </c>
      <c r="B4" s="45" t="s">
        <v>893</v>
      </c>
      <c r="C4" s="46">
        <v>58002232</v>
      </c>
      <c r="D4" s="45">
        <v>8980907</v>
      </c>
      <c r="E4" s="47" t="s">
        <v>76</v>
      </c>
      <c r="F4" s="48">
        <v>4500</v>
      </c>
      <c r="G4" s="49">
        <v>42150</v>
      </c>
      <c r="H4" s="45" t="s">
        <v>895</v>
      </c>
      <c r="I4" s="49"/>
      <c r="J4">
        <v>369231</v>
      </c>
    </row>
    <row r="5" spans="1:10" ht="25.5">
      <c r="A5" s="45">
        <v>79494969</v>
      </c>
      <c r="B5" s="45" t="s">
        <v>897</v>
      </c>
      <c r="C5" s="46">
        <v>58002158</v>
      </c>
      <c r="D5" s="45">
        <v>4109544</v>
      </c>
      <c r="E5" s="47" t="s">
        <v>898</v>
      </c>
      <c r="F5" s="48">
        <v>3040</v>
      </c>
      <c r="G5" s="49">
        <v>42167</v>
      </c>
      <c r="H5" s="45" t="s">
        <v>895</v>
      </c>
      <c r="I5" s="49"/>
      <c r="J5">
        <v>1140000</v>
      </c>
    </row>
    <row r="6" spans="1:10" ht="25.5">
      <c r="A6" s="45">
        <v>78417878</v>
      </c>
      <c r="B6" s="45" t="s">
        <v>900</v>
      </c>
      <c r="C6" s="46">
        <v>58002084</v>
      </c>
      <c r="D6" s="45">
        <v>20251085</v>
      </c>
      <c r="E6" s="47" t="s">
        <v>149</v>
      </c>
      <c r="F6" s="48">
        <v>18960</v>
      </c>
      <c r="G6" s="49">
        <v>42059</v>
      </c>
      <c r="H6" s="45" t="s">
        <v>895</v>
      </c>
      <c r="I6" s="49"/>
      <c r="J6">
        <v>1923077</v>
      </c>
    </row>
    <row r="7" spans="1:10" ht="25.5">
      <c r="A7" s="45">
        <v>78417860</v>
      </c>
      <c r="B7" s="45" t="s">
        <v>900</v>
      </c>
      <c r="C7" s="46">
        <v>58002085</v>
      </c>
      <c r="D7" s="45">
        <v>15193398</v>
      </c>
      <c r="E7" s="47" t="s">
        <v>150</v>
      </c>
      <c r="F7" s="48">
        <v>18960</v>
      </c>
      <c r="G7" s="49">
        <v>42059</v>
      </c>
      <c r="H7" s="45" t="s">
        <v>895</v>
      </c>
      <c r="I7" s="49"/>
      <c r="J7">
        <v>1923077</v>
      </c>
    </row>
    <row r="8" spans="1:10" ht="38.25">
      <c r="A8" s="45">
        <v>78417863</v>
      </c>
      <c r="B8" s="45" t="s">
        <v>900</v>
      </c>
      <c r="C8" s="46">
        <v>58002086</v>
      </c>
      <c r="D8" s="45">
        <v>15458065</v>
      </c>
      <c r="E8" s="47" t="s">
        <v>901</v>
      </c>
      <c r="F8" s="48">
        <v>23510</v>
      </c>
      <c r="G8" s="49">
        <v>42059</v>
      </c>
      <c r="H8" s="45" t="s">
        <v>895</v>
      </c>
      <c r="I8" s="49"/>
      <c r="J8">
        <v>5769231</v>
      </c>
    </row>
    <row r="9" spans="1:10">
      <c r="A9" s="45">
        <v>78417802</v>
      </c>
      <c r="B9" s="45" t="s">
        <v>902</v>
      </c>
      <c r="C9" s="46">
        <v>58003199</v>
      </c>
      <c r="D9" s="45">
        <v>1785257</v>
      </c>
      <c r="E9" s="47" t="s">
        <v>903</v>
      </c>
      <c r="F9" s="48">
        <v>3040</v>
      </c>
      <c r="G9" s="49">
        <v>42059</v>
      </c>
      <c r="H9" s="45" t="s">
        <v>895</v>
      </c>
      <c r="I9" s="49"/>
      <c r="J9">
        <v>7692</v>
      </c>
    </row>
    <row r="10" spans="1:10" ht="25.5">
      <c r="A10" s="45">
        <v>78417804</v>
      </c>
      <c r="B10" s="45" t="s">
        <v>904</v>
      </c>
      <c r="C10" s="46">
        <v>58029115</v>
      </c>
      <c r="D10" s="45">
        <v>2050801</v>
      </c>
      <c r="E10" s="47" t="s">
        <v>905</v>
      </c>
      <c r="F10" s="48">
        <v>1100</v>
      </c>
      <c r="G10" s="49">
        <v>42059</v>
      </c>
      <c r="H10" s="45" t="s">
        <v>895</v>
      </c>
      <c r="I10" s="49"/>
      <c r="J10">
        <v>269231</v>
      </c>
    </row>
    <row r="11" spans="1:10" ht="38.25">
      <c r="A11" s="45">
        <v>79495085</v>
      </c>
      <c r="B11" s="45" t="s">
        <v>904</v>
      </c>
      <c r="C11" s="46">
        <v>56621827</v>
      </c>
      <c r="D11" s="45">
        <v>21223262</v>
      </c>
      <c r="E11" s="47" t="s">
        <v>906</v>
      </c>
      <c r="F11" s="48">
        <v>1350</v>
      </c>
      <c r="G11" s="49">
        <v>42158</v>
      </c>
      <c r="H11" s="45" t="s">
        <v>895</v>
      </c>
      <c r="I11" s="49"/>
      <c r="J11">
        <v>200000</v>
      </c>
    </row>
    <row r="12" spans="1:10" ht="25.5">
      <c r="A12" s="45">
        <v>78417874</v>
      </c>
      <c r="B12" s="45" t="s">
        <v>907</v>
      </c>
      <c r="C12" s="46">
        <v>58002106</v>
      </c>
      <c r="D12" s="45">
        <v>16896450</v>
      </c>
      <c r="E12" s="47" t="s">
        <v>908</v>
      </c>
      <c r="F12" s="48">
        <v>2050</v>
      </c>
      <c r="G12" s="49">
        <v>42059</v>
      </c>
      <c r="H12" s="45" t="s">
        <v>895</v>
      </c>
      <c r="I12" s="49"/>
      <c r="J12">
        <v>3615385</v>
      </c>
    </row>
    <row r="13" spans="1:10">
      <c r="A13" s="45">
        <v>78417833</v>
      </c>
      <c r="B13" s="45" t="s">
        <v>907</v>
      </c>
      <c r="C13" s="46">
        <v>58002108</v>
      </c>
      <c r="D13" s="45">
        <v>7216101</v>
      </c>
      <c r="E13" s="47" t="s">
        <v>909</v>
      </c>
      <c r="F13" s="48">
        <v>190</v>
      </c>
      <c r="G13" s="49">
        <v>42059</v>
      </c>
      <c r="H13" s="45" t="s">
        <v>895</v>
      </c>
      <c r="I13" s="49"/>
      <c r="J13">
        <v>307692</v>
      </c>
    </row>
    <row r="14" spans="1:10" ht="25.5">
      <c r="A14" s="45">
        <v>78417806</v>
      </c>
      <c r="B14" s="45" t="s">
        <v>910</v>
      </c>
      <c r="C14" s="46">
        <v>56623332</v>
      </c>
      <c r="D14" s="45">
        <v>2318915</v>
      </c>
      <c r="E14" s="47" t="s">
        <v>911</v>
      </c>
      <c r="F14" s="48">
        <v>760</v>
      </c>
      <c r="G14" s="49">
        <v>42059</v>
      </c>
      <c r="H14" s="45" t="s">
        <v>895</v>
      </c>
      <c r="I14" s="49"/>
      <c r="J14">
        <v>200000</v>
      </c>
    </row>
    <row r="15" spans="1:10" ht="25.5">
      <c r="A15" s="45">
        <v>78417824</v>
      </c>
      <c r="B15" s="45" t="s">
        <v>912</v>
      </c>
      <c r="C15" s="46">
        <v>58002112</v>
      </c>
      <c r="D15" s="45">
        <v>4187022</v>
      </c>
      <c r="E15" s="47" t="s">
        <v>178</v>
      </c>
      <c r="F15" s="48">
        <v>290</v>
      </c>
      <c r="G15" s="49">
        <v>42059</v>
      </c>
      <c r="H15" s="45" t="s">
        <v>895</v>
      </c>
      <c r="I15" s="49"/>
      <c r="J15">
        <v>69231</v>
      </c>
    </row>
    <row r="16" spans="1:10" ht="25.5">
      <c r="A16" s="45">
        <v>78417828</v>
      </c>
      <c r="B16" s="45" t="s">
        <v>912</v>
      </c>
      <c r="C16" s="46">
        <v>58002114</v>
      </c>
      <c r="D16" s="45">
        <v>4310415</v>
      </c>
      <c r="E16" s="47" t="s">
        <v>913</v>
      </c>
      <c r="F16" s="48">
        <v>230</v>
      </c>
      <c r="G16" s="49">
        <v>42059</v>
      </c>
      <c r="H16" s="45" t="s">
        <v>895</v>
      </c>
      <c r="I16" s="49"/>
      <c r="J16">
        <v>23077</v>
      </c>
    </row>
    <row r="17" spans="1:10" ht="25.5">
      <c r="A17" s="45">
        <v>78417816</v>
      </c>
      <c r="B17" s="45" t="s">
        <v>912</v>
      </c>
      <c r="C17" s="46">
        <v>58002113</v>
      </c>
      <c r="D17" s="45">
        <v>4055986</v>
      </c>
      <c r="E17" s="47" t="s">
        <v>182</v>
      </c>
      <c r="F17" s="48">
        <v>95</v>
      </c>
      <c r="G17" s="49">
        <v>42059</v>
      </c>
      <c r="H17" s="45" t="s">
        <v>895</v>
      </c>
      <c r="I17" s="49"/>
      <c r="J17">
        <v>28846</v>
      </c>
    </row>
    <row r="18" spans="1:10" ht="25.5">
      <c r="A18" s="45">
        <v>78417803</v>
      </c>
      <c r="B18" s="45" t="s">
        <v>912</v>
      </c>
      <c r="C18" s="46">
        <v>58002116</v>
      </c>
      <c r="D18" s="45">
        <v>1910018</v>
      </c>
      <c r="E18" s="47" t="s">
        <v>914</v>
      </c>
      <c r="F18" s="48">
        <v>190</v>
      </c>
      <c r="G18" s="49">
        <v>42059</v>
      </c>
      <c r="H18" s="45" t="s">
        <v>895</v>
      </c>
      <c r="I18" s="49"/>
      <c r="J18">
        <v>15384.62</v>
      </c>
    </row>
    <row r="19" spans="1:10" ht="25.5">
      <c r="A19" s="45">
        <v>78417819</v>
      </c>
      <c r="B19" s="45" t="s">
        <v>912</v>
      </c>
      <c r="C19" s="46">
        <v>58002117</v>
      </c>
      <c r="D19" s="45">
        <v>4070609</v>
      </c>
      <c r="E19" s="47" t="s">
        <v>189</v>
      </c>
      <c r="F19" s="48">
        <v>155</v>
      </c>
      <c r="G19" s="49">
        <v>42059</v>
      </c>
      <c r="H19" s="45" t="s">
        <v>895</v>
      </c>
      <c r="I19" s="49"/>
      <c r="J19">
        <v>21769</v>
      </c>
    </row>
    <row r="20" spans="1:10" ht="38.25">
      <c r="A20" s="45">
        <v>78509857</v>
      </c>
      <c r="B20" s="45" t="s">
        <v>912</v>
      </c>
      <c r="C20" s="46">
        <v>58028209</v>
      </c>
      <c r="D20" s="45">
        <v>4147104</v>
      </c>
      <c r="E20" s="47" t="s">
        <v>452</v>
      </c>
      <c r="F20" s="48">
        <v>0</v>
      </c>
      <c r="G20" s="49">
        <v>42067</v>
      </c>
      <c r="H20" s="45" t="s">
        <v>895</v>
      </c>
      <c r="I20" s="49"/>
      <c r="J20">
        <v>0</v>
      </c>
    </row>
    <row r="21" spans="1:10">
      <c r="A21" s="45">
        <v>78417886</v>
      </c>
      <c r="B21" s="45" t="s">
        <v>912</v>
      </c>
      <c r="C21" s="46">
        <v>58029122</v>
      </c>
      <c r="D21" s="45">
        <v>37292403</v>
      </c>
      <c r="E21" s="47" t="s">
        <v>509</v>
      </c>
      <c r="F21" s="48">
        <v>95</v>
      </c>
      <c r="G21" s="49">
        <v>42059</v>
      </c>
      <c r="H21" s="45" t="s">
        <v>895</v>
      </c>
      <c r="I21" s="49"/>
      <c r="J21">
        <v>136923</v>
      </c>
    </row>
    <row r="22" spans="1:10" ht="25.5">
      <c r="A22" s="45">
        <v>78417818</v>
      </c>
      <c r="B22" s="45" t="s">
        <v>915</v>
      </c>
      <c r="C22" s="46">
        <v>58002122</v>
      </c>
      <c r="D22" s="45">
        <v>4066301</v>
      </c>
      <c r="E22" s="47" t="s">
        <v>194</v>
      </c>
      <c r="F22" s="48">
        <v>270</v>
      </c>
      <c r="G22" s="49">
        <v>42059</v>
      </c>
      <c r="H22" s="45" t="s">
        <v>895</v>
      </c>
      <c r="I22" s="49"/>
      <c r="J22">
        <v>269231</v>
      </c>
    </row>
    <row r="23" spans="1:10" ht="25.5">
      <c r="A23" s="45">
        <v>78417871</v>
      </c>
      <c r="B23" s="45" t="s">
        <v>915</v>
      </c>
      <c r="C23" s="46">
        <v>58002123</v>
      </c>
      <c r="D23" s="45">
        <v>16330294</v>
      </c>
      <c r="E23" s="47" t="s">
        <v>916</v>
      </c>
      <c r="F23" s="48">
        <v>155</v>
      </c>
      <c r="G23" s="49">
        <v>42059</v>
      </c>
      <c r="H23" s="45" t="s">
        <v>895</v>
      </c>
      <c r="I23" s="49"/>
      <c r="J23">
        <v>73077</v>
      </c>
    </row>
    <row r="24" spans="1:10">
      <c r="A24" s="45">
        <v>78417885</v>
      </c>
      <c r="B24" s="45" t="s">
        <v>915</v>
      </c>
      <c r="C24" s="46">
        <v>58029111</v>
      </c>
      <c r="D24" s="45">
        <v>21424088</v>
      </c>
      <c r="E24" s="47" t="s">
        <v>497</v>
      </c>
      <c r="F24" s="48">
        <v>380</v>
      </c>
      <c r="G24" s="49">
        <v>42059</v>
      </c>
      <c r="H24" s="45" t="s">
        <v>895</v>
      </c>
      <c r="I24" s="49"/>
      <c r="J24">
        <v>346153</v>
      </c>
    </row>
    <row r="25" spans="1:10" ht="25.5">
      <c r="A25" s="45">
        <v>78417817</v>
      </c>
      <c r="B25" s="45" t="s">
        <v>917</v>
      </c>
      <c r="C25" s="46">
        <v>58002124</v>
      </c>
      <c r="D25" s="45">
        <v>4057698</v>
      </c>
      <c r="E25" s="47" t="s">
        <v>918</v>
      </c>
      <c r="F25" s="48">
        <v>155</v>
      </c>
      <c r="G25" s="49">
        <v>42059</v>
      </c>
      <c r="H25" s="45" t="s">
        <v>895</v>
      </c>
      <c r="I25" s="49"/>
      <c r="J25">
        <v>38461</v>
      </c>
    </row>
    <row r="26" spans="1:10" ht="38.25">
      <c r="A26" s="45">
        <v>78417868</v>
      </c>
      <c r="B26" s="45" t="s">
        <v>919</v>
      </c>
      <c r="C26" s="46">
        <v>58002128</v>
      </c>
      <c r="D26" s="45">
        <v>16049839</v>
      </c>
      <c r="E26" s="47" t="s">
        <v>920</v>
      </c>
      <c r="F26" s="48">
        <v>65</v>
      </c>
      <c r="G26" s="49">
        <v>42059</v>
      </c>
      <c r="H26" s="45" t="s">
        <v>895</v>
      </c>
      <c r="I26" s="49"/>
      <c r="J26">
        <v>307692</v>
      </c>
    </row>
    <row r="27" spans="1:10">
      <c r="A27" s="45">
        <v>78417792</v>
      </c>
      <c r="B27" s="45" t="s">
        <v>921</v>
      </c>
      <c r="C27" s="46">
        <v>58028226</v>
      </c>
      <c r="D27" s="45">
        <v>308519</v>
      </c>
      <c r="E27" s="47" t="s">
        <v>922</v>
      </c>
      <c r="F27" s="48">
        <v>4550</v>
      </c>
      <c r="G27" s="49">
        <v>42059</v>
      </c>
      <c r="H27" s="45" t="s">
        <v>895</v>
      </c>
      <c r="I27" s="49"/>
      <c r="J27">
        <v>230769</v>
      </c>
    </row>
    <row r="28" spans="1:10" ht="25.5">
      <c r="A28" s="45">
        <v>78417835</v>
      </c>
      <c r="B28" s="45" t="s">
        <v>921</v>
      </c>
      <c r="C28" s="46">
        <v>58002129</v>
      </c>
      <c r="D28" s="45">
        <v>7907315</v>
      </c>
      <c r="E28" s="47" t="s">
        <v>923</v>
      </c>
      <c r="F28" s="48">
        <v>3420</v>
      </c>
      <c r="G28" s="49">
        <v>42059</v>
      </c>
      <c r="H28" s="45" t="s">
        <v>895</v>
      </c>
      <c r="I28" s="49"/>
      <c r="J28">
        <v>346154</v>
      </c>
    </row>
    <row r="29" spans="1:10" ht="25.5">
      <c r="A29" s="45">
        <v>78417846</v>
      </c>
      <c r="B29" s="45" t="s">
        <v>921</v>
      </c>
      <c r="C29" s="46">
        <v>87896</v>
      </c>
      <c r="D29" s="45">
        <v>11132737</v>
      </c>
      <c r="E29" s="47" t="s">
        <v>1529</v>
      </c>
      <c r="F29" s="48">
        <v>0</v>
      </c>
      <c r="G29" s="49">
        <v>42059</v>
      </c>
      <c r="H29" s="45" t="s">
        <v>895</v>
      </c>
      <c r="I29" s="49"/>
      <c r="J29" t="e">
        <v>#N/A</v>
      </c>
    </row>
    <row r="30" spans="1:10" ht="38.25">
      <c r="A30" s="45">
        <v>78417829</v>
      </c>
      <c r="B30" s="45" t="s">
        <v>921</v>
      </c>
      <c r="C30" s="46">
        <v>58002076</v>
      </c>
      <c r="D30" s="45">
        <v>4328652</v>
      </c>
      <c r="E30" s="47" t="s">
        <v>924</v>
      </c>
      <c r="F30" s="48">
        <v>190</v>
      </c>
      <c r="G30" s="49">
        <v>42059</v>
      </c>
      <c r="H30" s="45" t="s">
        <v>895</v>
      </c>
      <c r="I30" s="49"/>
      <c r="J30">
        <v>692308</v>
      </c>
    </row>
    <row r="31" spans="1:10" ht="25.5">
      <c r="A31" s="45">
        <v>78417800</v>
      </c>
      <c r="B31" s="45" t="s">
        <v>921</v>
      </c>
      <c r="C31" s="46">
        <v>58002131</v>
      </c>
      <c r="D31" s="45">
        <v>1355292</v>
      </c>
      <c r="E31" s="47" t="s">
        <v>213</v>
      </c>
      <c r="F31" s="48">
        <v>1520</v>
      </c>
      <c r="G31" s="49">
        <v>42059</v>
      </c>
      <c r="H31" s="45" t="s">
        <v>895</v>
      </c>
      <c r="I31" s="49"/>
      <c r="J31">
        <v>461538</v>
      </c>
    </row>
    <row r="32" spans="1:10" ht="25.5">
      <c r="A32" s="45">
        <v>78417884</v>
      </c>
      <c r="B32" s="45" t="s">
        <v>925</v>
      </c>
      <c r="C32" s="46">
        <v>58028192</v>
      </c>
      <c r="D32" s="45">
        <v>21342667</v>
      </c>
      <c r="E32" s="47" t="s">
        <v>441</v>
      </c>
      <c r="F32" s="48">
        <v>1140</v>
      </c>
      <c r="G32" s="49">
        <v>42059</v>
      </c>
      <c r="H32" s="45" t="s">
        <v>895</v>
      </c>
      <c r="I32" s="49"/>
      <c r="J32">
        <v>1153846</v>
      </c>
    </row>
    <row r="33" spans="1:10" ht="25.5">
      <c r="A33" s="45">
        <v>78417807</v>
      </c>
      <c r="B33" s="45" t="s">
        <v>927</v>
      </c>
      <c r="C33" s="46">
        <v>58002135</v>
      </c>
      <c r="D33" s="45">
        <v>2490269</v>
      </c>
      <c r="E33" s="47" t="s">
        <v>221</v>
      </c>
      <c r="F33" s="48">
        <v>1520</v>
      </c>
      <c r="G33" s="49">
        <v>42059</v>
      </c>
      <c r="H33" s="45" t="s">
        <v>895</v>
      </c>
      <c r="I33" s="49"/>
      <c r="J33">
        <v>400000</v>
      </c>
    </row>
    <row r="34" spans="1:10" ht="38.25">
      <c r="A34" s="45">
        <v>78417811</v>
      </c>
      <c r="B34" s="45" t="s">
        <v>927</v>
      </c>
      <c r="C34" s="46">
        <v>58028215</v>
      </c>
      <c r="D34" s="45">
        <v>3854072</v>
      </c>
      <c r="E34" s="47" t="s">
        <v>928</v>
      </c>
      <c r="F34" s="48">
        <v>610</v>
      </c>
      <c r="G34" s="49">
        <v>42059</v>
      </c>
      <c r="H34" s="45" t="s">
        <v>895</v>
      </c>
      <c r="I34" s="49"/>
      <c r="J34">
        <v>15385</v>
      </c>
    </row>
    <row r="35" spans="1:10" ht="38.25">
      <c r="A35" s="45">
        <v>78417812</v>
      </c>
      <c r="B35" s="45" t="s">
        <v>929</v>
      </c>
      <c r="C35" s="46">
        <v>58002136</v>
      </c>
      <c r="D35" s="45">
        <v>3966293</v>
      </c>
      <c r="E35" s="47" t="s">
        <v>930</v>
      </c>
      <c r="F35" s="48">
        <v>380</v>
      </c>
      <c r="G35" s="49">
        <v>42059</v>
      </c>
      <c r="H35" s="45" t="s">
        <v>895</v>
      </c>
      <c r="I35" s="49"/>
      <c r="J35">
        <v>161538</v>
      </c>
    </row>
    <row r="36" spans="1:10" ht="38.25">
      <c r="A36" s="45">
        <v>78417861</v>
      </c>
      <c r="B36" s="45" t="s">
        <v>929</v>
      </c>
      <c r="C36" s="46">
        <v>58002137</v>
      </c>
      <c r="D36" s="45">
        <v>15237812</v>
      </c>
      <c r="E36" s="47" t="s">
        <v>931</v>
      </c>
      <c r="F36" s="48">
        <v>980</v>
      </c>
      <c r="G36" s="49">
        <v>42059</v>
      </c>
      <c r="H36" s="45" t="s">
        <v>895</v>
      </c>
      <c r="I36" s="49"/>
      <c r="J36">
        <v>69231</v>
      </c>
    </row>
    <row r="37" spans="1:10">
      <c r="A37" s="45">
        <v>78417793</v>
      </c>
      <c r="B37" s="45" t="s">
        <v>929</v>
      </c>
      <c r="C37" s="46">
        <v>58002138</v>
      </c>
      <c r="D37" s="45">
        <v>519489</v>
      </c>
      <c r="E37" s="47" t="s">
        <v>225</v>
      </c>
      <c r="F37" s="48">
        <v>380</v>
      </c>
      <c r="G37" s="49">
        <v>42059</v>
      </c>
      <c r="H37" s="45" t="s">
        <v>895</v>
      </c>
      <c r="I37" s="49"/>
      <c r="J37">
        <v>153846</v>
      </c>
    </row>
    <row r="38" spans="1:10" ht="25.5">
      <c r="A38" s="45">
        <v>78417813</v>
      </c>
      <c r="B38" s="45" t="s">
        <v>929</v>
      </c>
      <c r="C38" s="46">
        <v>58002139</v>
      </c>
      <c r="D38" s="45">
        <v>3973121</v>
      </c>
      <c r="E38" s="47" t="s">
        <v>932</v>
      </c>
      <c r="F38" s="48">
        <v>230</v>
      </c>
      <c r="G38" s="49">
        <v>42059</v>
      </c>
      <c r="H38" s="45" t="s">
        <v>895</v>
      </c>
      <c r="I38" s="49"/>
      <c r="J38">
        <v>23077</v>
      </c>
    </row>
    <row r="39" spans="1:10" ht="38.25">
      <c r="A39" s="45">
        <v>78417870</v>
      </c>
      <c r="B39" s="45" t="s">
        <v>933</v>
      </c>
      <c r="C39" s="46">
        <v>58002143</v>
      </c>
      <c r="D39" s="45">
        <v>16269582</v>
      </c>
      <c r="E39" s="47" t="s">
        <v>934</v>
      </c>
      <c r="F39" s="48">
        <v>570</v>
      </c>
      <c r="G39" s="49">
        <v>42059</v>
      </c>
      <c r="H39" s="45" t="s">
        <v>895</v>
      </c>
      <c r="I39" s="49"/>
      <c r="J39">
        <v>576923</v>
      </c>
    </row>
    <row r="40" spans="1:10">
      <c r="A40" s="45">
        <v>78417855</v>
      </c>
      <c r="B40" s="45" t="s">
        <v>933</v>
      </c>
      <c r="C40" s="46">
        <v>58002144</v>
      </c>
      <c r="D40" s="45">
        <v>13513504</v>
      </c>
      <c r="E40" s="47" t="s">
        <v>935</v>
      </c>
      <c r="F40" s="48">
        <v>190</v>
      </c>
      <c r="G40" s="49">
        <v>42059</v>
      </c>
      <c r="H40" s="45" t="s">
        <v>895</v>
      </c>
      <c r="I40" s="49"/>
      <c r="J40">
        <v>19231</v>
      </c>
    </row>
    <row r="41" spans="1:10" ht="25.5">
      <c r="A41" s="45">
        <v>78417810</v>
      </c>
      <c r="B41" s="45" t="s">
        <v>936</v>
      </c>
      <c r="C41" s="46">
        <v>58002151</v>
      </c>
      <c r="D41" s="45">
        <v>3847324</v>
      </c>
      <c r="E41" s="47" t="s">
        <v>937</v>
      </c>
      <c r="F41" s="48">
        <v>190</v>
      </c>
      <c r="G41" s="49">
        <v>42059</v>
      </c>
      <c r="H41" s="45" t="s">
        <v>895</v>
      </c>
      <c r="I41" s="49"/>
      <c r="J41">
        <v>230769</v>
      </c>
    </row>
    <row r="42" spans="1:10" ht="38.25">
      <c r="A42" s="45">
        <v>78417869</v>
      </c>
      <c r="B42" s="45" t="s">
        <v>936</v>
      </c>
      <c r="C42" s="46">
        <v>58028247</v>
      </c>
      <c r="D42" s="45">
        <v>16094906</v>
      </c>
      <c r="E42" s="47" t="s">
        <v>1530</v>
      </c>
      <c r="F42" s="48">
        <v>190</v>
      </c>
      <c r="G42" s="49">
        <v>42059</v>
      </c>
      <c r="H42" s="45" t="s">
        <v>895</v>
      </c>
      <c r="I42" s="49"/>
      <c r="J42">
        <v>19231</v>
      </c>
    </row>
    <row r="43" spans="1:10" ht="25.5">
      <c r="A43" s="45">
        <v>79495120</v>
      </c>
      <c r="B43" s="45" t="s">
        <v>936</v>
      </c>
      <c r="C43" s="46">
        <v>58002148</v>
      </c>
      <c r="D43" s="45">
        <v>17349447</v>
      </c>
      <c r="E43" s="47" t="s">
        <v>938</v>
      </c>
      <c r="F43" s="48">
        <v>200</v>
      </c>
      <c r="G43" s="49">
        <v>42158</v>
      </c>
      <c r="H43" s="45" t="s">
        <v>895</v>
      </c>
      <c r="I43" s="49"/>
      <c r="J43">
        <v>17077</v>
      </c>
    </row>
    <row r="44" spans="1:10" ht="25.5">
      <c r="A44" s="45">
        <v>79495251</v>
      </c>
      <c r="B44" s="45" t="s">
        <v>936</v>
      </c>
      <c r="C44" s="46">
        <v>58002150</v>
      </c>
      <c r="D44" s="45">
        <v>2663392</v>
      </c>
      <c r="E44" s="47" t="s">
        <v>939</v>
      </c>
      <c r="F44" s="48">
        <v>1170</v>
      </c>
      <c r="G44" s="49">
        <v>42151</v>
      </c>
      <c r="H44" s="45" t="s">
        <v>895</v>
      </c>
      <c r="I44" s="49">
        <v>42277</v>
      </c>
      <c r="J44">
        <v>225000</v>
      </c>
    </row>
    <row r="45" spans="1:10" ht="38.25">
      <c r="A45" s="45">
        <v>79495846</v>
      </c>
      <c r="B45" s="45" t="s">
        <v>936</v>
      </c>
      <c r="C45" s="46">
        <v>58002146</v>
      </c>
      <c r="D45" s="45">
        <v>14318734</v>
      </c>
      <c r="E45" s="47" t="s">
        <v>940</v>
      </c>
      <c r="F45" s="48">
        <v>1140</v>
      </c>
      <c r="G45" s="49">
        <v>42172</v>
      </c>
      <c r="H45" s="45" t="s">
        <v>895</v>
      </c>
      <c r="I45" s="49">
        <v>42202</v>
      </c>
      <c r="J45">
        <v>115385</v>
      </c>
    </row>
    <row r="46" spans="1:10" ht="38.25">
      <c r="A46" s="45">
        <v>78417877</v>
      </c>
      <c r="B46" s="45" t="s">
        <v>941</v>
      </c>
      <c r="C46" s="46">
        <v>58002050</v>
      </c>
      <c r="D46" s="45">
        <v>20182763</v>
      </c>
      <c r="E46" s="47" t="s">
        <v>108</v>
      </c>
      <c r="F46" s="48">
        <v>230</v>
      </c>
      <c r="G46" s="49">
        <v>42059</v>
      </c>
      <c r="H46" s="45" t="s">
        <v>895</v>
      </c>
      <c r="I46" s="49"/>
      <c r="J46">
        <v>230769</v>
      </c>
    </row>
    <row r="47" spans="1:10" ht="25.5">
      <c r="A47" s="45">
        <v>78989631</v>
      </c>
      <c r="B47" s="45" t="s">
        <v>942</v>
      </c>
      <c r="C47" s="46">
        <v>58002159</v>
      </c>
      <c r="D47" s="45">
        <v>4073324</v>
      </c>
      <c r="E47" s="47" t="s">
        <v>943</v>
      </c>
      <c r="F47" s="48">
        <v>26800</v>
      </c>
      <c r="G47" s="49">
        <v>42129</v>
      </c>
      <c r="H47" s="45" t="s">
        <v>895</v>
      </c>
      <c r="I47" s="49"/>
      <c r="J47">
        <v>1307692</v>
      </c>
    </row>
    <row r="48" spans="1:10" ht="25.5">
      <c r="A48" s="45">
        <v>78417814</v>
      </c>
      <c r="B48" s="45" t="s">
        <v>942</v>
      </c>
      <c r="C48" s="46">
        <v>58002160</v>
      </c>
      <c r="D48" s="45">
        <v>3986082</v>
      </c>
      <c r="E48" s="47" t="s">
        <v>944</v>
      </c>
      <c r="F48" s="48">
        <v>1710</v>
      </c>
      <c r="G48" s="49">
        <v>42059</v>
      </c>
      <c r="H48" s="45" t="s">
        <v>895</v>
      </c>
      <c r="I48" s="49"/>
      <c r="J48">
        <v>173077</v>
      </c>
    </row>
    <row r="49" spans="1:10">
      <c r="A49" s="45">
        <v>78417858</v>
      </c>
      <c r="B49" s="45" t="s">
        <v>945</v>
      </c>
      <c r="C49" s="46">
        <v>58002164</v>
      </c>
      <c r="D49" s="45">
        <v>14634552</v>
      </c>
      <c r="E49" s="47" t="s">
        <v>946</v>
      </c>
      <c r="F49" s="48">
        <v>200</v>
      </c>
      <c r="G49" s="49">
        <v>42059</v>
      </c>
      <c r="H49" s="45" t="s">
        <v>895</v>
      </c>
      <c r="I49" s="49"/>
      <c r="J49">
        <v>1000000</v>
      </c>
    </row>
    <row r="50" spans="1:10">
      <c r="A50" s="45">
        <v>78417845</v>
      </c>
      <c r="B50" s="45" t="s">
        <v>945</v>
      </c>
      <c r="C50" s="46">
        <v>58002165</v>
      </c>
      <c r="D50" s="45">
        <v>11131265</v>
      </c>
      <c r="E50" s="47" t="s">
        <v>258</v>
      </c>
      <c r="F50" s="48">
        <v>230</v>
      </c>
      <c r="G50" s="49">
        <v>42059</v>
      </c>
      <c r="H50" s="45" t="s">
        <v>895</v>
      </c>
      <c r="I50" s="49"/>
      <c r="J50">
        <v>700000</v>
      </c>
    </row>
    <row r="51" spans="1:10">
      <c r="A51" s="45">
        <v>79507961</v>
      </c>
      <c r="B51" s="45" t="s">
        <v>947</v>
      </c>
      <c r="C51" s="46">
        <v>58002166</v>
      </c>
      <c r="D51" s="45">
        <v>15876051</v>
      </c>
      <c r="E51" s="47" t="s">
        <v>948</v>
      </c>
      <c r="F51" s="48">
        <v>5690</v>
      </c>
      <c r="G51" s="49">
        <v>42158</v>
      </c>
      <c r="H51" s="45" t="s">
        <v>895</v>
      </c>
      <c r="I51" s="49"/>
      <c r="J51">
        <v>1538461</v>
      </c>
    </row>
    <row r="52" spans="1:10">
      <c r="A52" s="45">
        <v>78417887</v>
      </c>
      <c r="B52" s="45" t="s">
        <v>949</v>
      </c>
      <c r="C52" s="46">
        <v>58028190</v>
      </c>
      <c r="D52" s="45">
        <v>45728628</v>
      </c>
      <c r="E52" s="47" t="s">
        <v>76</v>
      </c>
      <c r="F52" s="48">
        <v>4</v>
      </c>
      <c r="G52" s="49">
        <v>42059</v>
      </c>
      <c r="H52" s="45" t="s">
        <v>895</v>
      </c>
      <c r="I52" s="49"/>
      <c r="J52">
        <v>44600</v>
      </c>
    </row>
    <row r="53" spans="1:10">
      <c r="A53" s="45">
        <v>78417838</v>
      </c>
      <c r="B53" s="45" t="s">
        <v>950</v>
      </c>
      <c r="C53" s="46">
        <v>58002149</v>
      </c>
      <c r="D53" s="45">
        <v>9334162</v>
      </c>
      <c r="E53" s="47" t="s">
        <v>951</v>
      </c>
      <c r="F53" s="48">
        <v>420</v>
      </c>
      <c r="G53" s="49">
        <v>42059</v>
      </c>
      <c r="H53" s="45" t="s">
        <v>895</v>
      </c>
      <c r="I53" s="49"/>
      <c r="J53">
        <v>730769</v>
      </c>
    </row>
    <row r="54" spans="1:10">
      <c r="A54" s="45">
        <v>78417841</v>
      </c>
      <c r="B54" s="45" t="s">
        <v>950</v>
      </c>
      <c r="C54" s="46">
        <v>58002046</v>
      </c>
      <c r="D54" s="45">
        <v>9936813</v>
      </c>
      <c r="E54" s="47" t="s">
        <v>952</v>
      </c>
      <c r="F54" s="48">
        <v>690</v>
      </c>
      <c r="G54" s="49">
        <v>42059</v>
      </c>
      <c r="H54" s="45" t="s">
        <v>895</v>
      </c>
      <c r="I54" s="49"/>
      <c r="J54">
        <v>1076923</v>
      </c>
    </row>
    <row r="55" spans="1:10">
      <c r="A55" s="45">
        <v>78417849</v>
      </c>
      <c r="B55" s="45" t="s">
        <v>950</v>
      </c>
      <c r="C55" s="46">
        <v>58002047</v>
      </c>
      <c r="D55" s="45">
        <v>11496390</v>
      </c>
      <c r="E55" s="47" t="s">
        <v>106</v>
      </c>
      <c r="F55" s="48">
        <v>12</v>
      </c>
      <c r="G55" s="49">
        <v>42059</v>
      </c>
      <c r="H55" s="45" t="s">
        <v>895</v>
      </c>
      <c r="I55" s="49"/>
      <c r="J55">
        <v>230769</v>
      </c>
    </row>
    <row r="56" spans="1:10">
      <c r="A56" s="45">
        <v>78417842</v>
      </c>
      <c r="B56" s="45" t="s">
        <v>950</v>
      </c>
      <c r="C56" s="46">
        <v>58002048</v>
      </c>
      <c r="D56" s="45">
        <v>9959955</v>
      </c>
      <c r="E56" s="47" t="s">
        <v>953</v>
      </c>
      <c r="F56" s="48">
        <v>1520</v>
      </c>
      <c r="G56" s="49">
        <v>42059</v>
      </c>
      <c r="H56" s="45" t="s">
        <v>895</v>
      </c>
      <c r="I56" s="49"/>
      <c r="J56">
        <v>1000000</v>
      </c>
    </row>
    <row r="57" spans="1:10" ht="25.5">
      <c r="A57" s="45">
        <v>78417839</v>
      </c>
      <c r="B57" s="45" t="s">
        <v>954</v>
      </c>
      <c r="C57" s="46">
        <v>58002170</v>
      </c>
      <c r="D57" s="45">
        <v>9350846</v>
      </c>
      <c r="E57" s="47" t="s">
        <v>955</v>
      </c>
      <c r="F57" s="48">
        <v>320</v>
      </c>
      <c r="G57" s="49">
        <v>42059</v>
      </c>
      <c r="H57" s="45" t="s">
        <v>895</v>
      </c>
      <c r="I57" s="49"/>
      <c r="J57">
        <v>803077</v>
      </c>
    </row>
    <row r="58" spans="1:10" ht="25.5">
      <c r="A58" s="45">
        <v>78417797</v>
      </c>
      <c r="B58" s="45" t="s">
        <v>956</v>
      </c>
      <c r="C58" s="46">
        <v>58002171</v>
      </c>
      <c r="D58" s="45">
        <v>1051415</v>
      </c>
      <c r="E58" s="47" t="s">
        <v>957</v>
      </c>
      <c r="F58" s="48">
        <v>230</v>
      </c>
      <c r="G58" s="49">
        <v>42059</v>
      </c>
      <c r="H58" s="45" t="s">
        <v>895</v>
      </c>
      <c r="I58" s="49"/>
      <c r="J58">
        <v>88462</v>
      </c>
    </row>
    <row r="59" spans="1:10" ht="38.25">
      <c r="A59" s="45">
        <v>78417880</v>
      </c>
      <c r="B59" s="45" t="s">
        <v>958</v>
      </c>
      <c r="C59" s="46">
        <v>58002175</v>
      </c>
      <c r="D59" s="45">
        <v>20431481</v>
      </c>
      <c r="E59" s="47" t="s">
        <v>959</v>
      </c>
      <c r="F59" s="48">
        <v>115</v>
      </c>
      <c r="G59" s="49">
        <v>42059</v>
      </c>
      <c r="H59" s="45" t="s">
        <v>895</v>
      </c>
      <c r="I59" s="49"/>
      <c r="J59">
        <v>19231</v>
      </c>
    </row>
    <row r="60" spans="1:10" ht="25.5">
      <c r="A60" s="45">
        <v>78417879</v>
      </c>
      <c r="B60" s="45" t="s">
        <v>960</v>
      </c>
      <c r="C60" s="46">
        <v>58002180</v>
      </c>
      <c r="D60" s="45">
        <v>20388551</v>
      </c>
      <c r="E60" s="47" t="s">
        <v>961</v>
      </c>
      <c r="F60" s="48">
        <v>155</v>
      </c>
      <c r="G60" s="49">
        <v>42059</v>
      </c>
      <c r="H60" s="45" t="s">
        <v>895</v>
      </c>
      <c r="I60" s="49"/>
      <c r="J60">
        <v>615385</v>
      </c>
    </row>
    <row r="61" spans="1:10" ht="25.5">
      <c r="A61" s="45">
        <v>78417848</v>
      </c>
      <c r="B61" s="45" t="s">
        <v>963</v>
      </c>
      <c r="C61" s="46">
        <v>58029107</v>
      </c>
      <c r="D61" s="45">
        <v>11334416</v>
      </c>
      <c r="E61" s="47" t="s">
        <v>493</v>
      </c>
      <c r="F61" s="48">
        <v>460</v>
      </c>
      <c r="G61" s="49">
        <v>42059</v>
      </c>
      <c r="H61" s="45" t="s">
        <v>895</v>
      </c>
      <c r="I61" s="49"/>
      <c r="J61">
        <v>0</v>
      </c>
    </row>
    <row r="62" spans="1:10" ht="25.5">
      <c r="A62" s="45">
        <v>79495897</v>
      </c>
      <c r="B62" s="45" t="s">
        <v>964</v>
      </c>
      <c r="C62" s="46">
        <v>58002213</v>
      </c>
      <c r="D62" s="45">
        <v>1214291</v>
      </c>
      <c r="E62" s="47" t="s">
        <v>965</v>
      </c>
      <c r="F62" s="48">
        <v>3900</v>
      </c>
      <c r="G62" s="49">
        <v>42149</v>
      </c>
      <c r="H62" s="45" t="s">
        <v>895</v>
      </c>
      <c r="I62" s="49"/>
      <c r="J62">
        <v>769230</v>
      </c>
    </row>
    <row r="63" spans="1:10" ht="25.5">
      <c r="A63" s="45">
        <v>78417882</v>
      </c>
      <c r="B63" s="45" t="s">
        <v>966</v>
      </c>
      <c r="C63" s="46">
        <v>58028189</v>
      </c>
      <c r="D63" s="45">
        <v>21223126</v>
      </c>
      <c r="E63" s="47" t="s">
        <v>967</v>
      </c>
      <c r="F63" s="48">
        <v>570</v>
      </c>
      <c r="G63" s="49">
        <v>42059</v>
      </c>
      <c r="H63" s="45" t="s">
        <v>895</v>
      </c>
      <c r="I63" s="49"/>
      <c r="J63">
        <v>0</v>
      </c>
    </row>
    <row r="64" spans="1:10" ht="25.5">
      <c r="A64" s="45">
        <v>78417801</v>
      </c>
      <c r="B64" s="45" t="s">
        <v>968</v>
      </c>
      <c r="C64" s="46">
        <v>58028191</v>
      </c>
      <c r="D64" s="45">
        <v>1521104</v>
      </c>
      <c r="E64" s="47" t="s">
        <v>440</v>
      </c>
      <c r="F64" s="48">
        <v>3640</v>
      </c>
      <c r="G64" s="49">
        <v>42059</v>
      </c>
      <c r="H64" s="45" t="s">
        <v>895</v>
      </c>
      <c r="I64" s="49"/>
      <c r="J64">
        <v>3692308</v>
      </c>
    </row>
    <row r="65" spans="1:10" ht="25.5">
      <c r="A65" s="45">
        <v>79495912</v>
      </c>
      <c r="B65" s="45" t="s">
        <v>970</v>
      </c>
      <c r="C65" s="46">
        <v>58002186</v>
      </c>
      <c r="D65" s="45">
        <v>2194086</v>
      </c>
      <c r="E65" s="47" t="s">
        <v>971</v>
      </c>
      <c r="F65" s="48">
        <v>900</v>
      </c>
      <c r="G65" s="49">
        <v>42152</v>
      </c>
      <c r="H65" s="45" t="s">
        <v>895</v>
      </c>
      <c r="I65" s="49"/>
      <c r="J65">
        <v>93000</v>
      </c>
    </row>
    <row r="66" spans="1:10" ht="25.5">
      <c r="A66" s="45">
        <v>79495932</v>
      </c>
      <c r="B66" s="45" t="s">
        <v>970</v>
      </c>
      <c r="C66" s="46">
        <v>58002187</v>
      </c>
      <c r="D66" s="45">
        <v>4283021</v>
      </c>
      <c r="E66" s="47" t="s">
        <v>286</v>
      </c>
      <c r="F66" s="48">
        <v>4060</v>
      </c>
      <c r="G66" s="49">
        <v>42149</v>
      </c>
      <c r="H66" s="45" t="s">
        <v>895</v>
      </c>
      <c r="I66" s="49"/>
      <c r="J66">
        <v>480769</v>
      </c>
    </row>
    <row r="67" spans="1:10">
      <c r="A67" s="45">
        <v>78417875</v>
      </c>
      <c r="B67" s="45" t="s">
        <v>972</v>
      </c>
      <c r="C67" s="46">
        <v>58002189</v>
      </c>
      <c r="D67" s="45">
        <v>17032208</v>
      </c>
      <c r="E67" s="47" t="s">
        <v>973</v>
      </c>
      <c r="F67" s="48">
        <v>5240</v>
      </c>
      <c r="G67" s="49">
        <v>42059</v>
      </c>
      <c r="H67" s="45" t="s">
        <v>895</v>
      </c>
      <c r="I67" s="49"/>
      <c r="J67">
        <v>1500000</v>
      </c>
    </row>
    <row r="68" spans="1:10">
      <c r="A68" s="45">
        <v>79370598</v>
      </c>
      <c r="B68" s="45" t="s">
        <v>972</v>
      </c>
      <c r="C68" s="46">
        <v>58002190</v>
      </c>
      <c r="D68" s="45">
        <v>10248709</v>
      </c>
      <c r="E68" s="47" t="s">
        <v>289</v>
      </c>
      <c r="F68" s="48">
        <v>3790</v>
      </c>
      <c r="G68" s="49">
        <v>42144</v>
      </c>
      <c r="H68" s="45" t="s">
        <v>895</v>
      </c>
      <c r="I68" s="49"/>
      <c r="J68">
        <v>500000</v>
      </c>
    </row>
    <row r="69" spans="1:10" ht="25.5">
      <c r="A69" s="45">
        <v>78417844</v>
      </c>
      <c r="B69" s="45" t="s">
        <v>972</v>
      </c>
      <c r="C69" s="46">
        <v>58002191</v>
      </c>
      <c r="D69" s="45">
        <v>11121924</v>
      </c>
      <c r="E69" s="47" t="s">
        <v>974</v>
      </c>
      <c r="F69" s="48">
        <v>11690</v>
      </c>
      <c r="G69" s="49">
        <v>42059</v>
      </c>
      <c r="H69" s="45" t="s">
        <v>895</v>
      </c>
      <c r="I69" s="49"/>
      <c r="J69">
        <v>2197000</v>
      </c>
    </row>
    <row r="70" spans="1:10">
      <c r="A70" s="45">
        <v>79380307</v>
      </c>
      <c r="B70" s="45" t="s">
        <v>972</v>
      </c>
      <c r="C70" s="46">
        <v>58002192</v>
      </c>
      <c r="D70" s="45">
        <v>884626</v>
      </c>
      <c r="E70" s="47" t="s">
        <v>291</v>
      </c>
      <c r="F70" s="48">
        <v>1800</v>
      </c>
      <c r="G70" s="49">
        <v>42139</v>
      </c>
      <c r="H70" s="45" t="s">
        <v>895</v>
      </c>
      <c r="I70" s="49"/>
      <c r="J70">
        <v>188000</v>
      </c>
    </row>
    <row r="71" spans="1:10">
      <c r="A71" s="45">
        <v>78417853</v>
      </c>
      <c r="B71" s="45" t="s">
        <v>972</v>
      </c>
      <c r="C71" s="46">
        <v>58002194</v>
      </c>
      <c r="D71" s="45">
        <v>12852920</v>
      </c>
      <c r="E71" s="47" t="s">
        <v>975</v>
      </c>
      <c r="F71" s="48">
        <v>3900</v>
      </c>
      <c r="G71" s="49">
        <v>42059</v>
      </c>
      <c r="H71" s="45" t="s">
        <v>895</v>
      </c>
      <c r="I71" s="49"/>
      <c r="J71">
        <v>500000</v>
      </c>
    </row>
    <row r="72" spans="1:10" ht="38.25">
      <c r="A72" s="45">
        <v>78728746</v>
      </c>
      <c r="B72" s="45" t="s">
        <v>976</v>
      </c>
      <c r="C72" s="46">
        <v>58002198</v>
      </c>
      <c r="D72" s="45">
        <v>4199677</v>
      </c>
      <c r="E72" s="47" t="s">
        <v>977</v>
      </c>
      <c r="F72" s="48">
        <v>17000</v>
      </c>
      <c r="G72" s="49">
        <v>42094</v>
      </c>
      <c r="H72" s="45" t="s">
        <v>895</v>
      </c>
      <c r="I72" s="49"/>
      <c r="J72">
        <v>13425926</v>
      </c>
    </row>
    <row r="73" spans="1:10" ht="38.25">
      <c r="A73" s="45">
        <v>79495953</v>
      </c>
      <c r="B73" s="45" t="s">
        <v>976</v>
      </c>
      <c r="C73" s="46">
        <v>58002196</v>
      </c>
      <c r="D73" s="45">
        <v>4209884</v>
      </c>
      <c r="E73" s="47" t="s">
        <v>978</v>
      </c>
      <c r="F73" s="48">
        <v>3155</v>
      </c>
      <c r="G73" s="49">
        <v>42150</v>
      </c>
      <c r="H73" s="45" t="s">
        <v>895</v>
      </c>
      <c r="I73" s="49"/>
      <c r="J73">
        <v>1800000</v>
      </c>
    </row>
    <row r="74" spans="1:10" ht="25.5">
      <c r="A74" s="45">
        <v>79574898</v>
      </c>
      <c r="B74" s="45" t="s">
        <v>979</v>
      </c>
      <c r="C74" s="46">
        <v>58002200</v>
      </c>
      <c r="D74" s="45">
        <v>15506445</v>
      </c>
      <c r="E74" s="47" t="s">
        <v>980</v>
      </c>
      <c r="F74" s="48">
        <v>4000</v>
      </c>
      <c r="G74" s="49">
        <v>42163</v>
      </c>
      <c r="H74" s="45" t="s">
        <v>895</v>
      </c>
      <c r="I74" s="49"/>
      <c r="J74">
        <v>969231</v>
      </c>
    </row>
    <row r="75" spans="1:10" ht="25.5">
      <c r="A75" s="45">
        <v>79493216</v>
      </c>
      <c r="B75" s="45" t="s">
        <v>981</v>
      </c>
      <c r="C75" s="46">
        <v>58002201</v>
      </c>
      <c r="D75" s="45">
        <v>1135850</v>
      </c>
      <c r="E75" s="47" t="s">
        <v>982</v>
      </c>
      <c r="F75" s="48">
        <v>2100</v>
      </c>
      <c r="G75" s="49">
        <v>42151</v>
      </c>
      <c r="H75" s="45" t="s">
        <v>895</v>
      </c>
      <c r="I75" s="49"/>
      <c r="J75">
        <v>3692308</v>
      </c>
    </row>
    <row r="76" spans="1:10" ht="38.25">
      <c r="A76" s="45">
        <v>78417847</v>
      </c>
      <c r="B76" s="45" t="s">
        <v>983</v>
      </c>
      <c r="C76" s="46">
        <v>58002203</v>
      </c>
      <c r="D76" s="45">
        <v>11275624</v>
      </c>
      <c r="E76" s="47" t="s">
        <v>984</v>
      </c>
      <c r="F76" s="48">
        <v>440</v>
      </c>
      <c r="G76" s="49">
        <v>42059</v>
      </c>
      <c r="H76" s="45" t="s">
        <v>895</v>
      </c>
      <c r="I76" s="49"/>
      <c r="J76">
        <v>1410000</v>
      </c>
    </row>
    <row r="77" spans="1:10" ht="25.5">
      <c r="A77" s="45">
        <v>78417815</v>
      </c>
      <c r="B77" s="45" t="s">
        <v>983</v>
      </c>
      <c r="C77" s="46">
        <v>58002205</v>
      </c>
      <c r="D77" s="45">
        <v>4008443</v>
      </c>
      <c r="E77" s="47" t="s">
        <v>985</v>
      </c>
      <c r="F77" s="48">
        <v>2130</v>
      </c>
      <c r="G77" s="49">
        <v>42059</v>
      </c>
      <c r="H77" s="45" t="s">
        <v>895</v>
      </c>
      <c r="I77" s="49"/>
      <c r="J77">
        <v>1080769</v>
      </c>
    </row>
    <row r="78" spans="1:10" ht="38.25">
      <c r="A78" s="45">
        <v>78417881</v>
      </c>
      <c r="B78" s="45" t="s">
        <v>983</v>
      </c>
      <c r="C78" s="46">
        <v>58002209</v>
      </c>
      <c r="D78" s="45">
        <v>20611500</v>
      </c>
      <c r="E78" s="47" t="s">
        <v>986</v>
      </c>
      <c r="F78" s="48">
        <v>480</v>
      </c>
      <c r="G78" s="49">
        <v>42059</v>
      </c>
      <c r="H78" s="45" t="s">
        <v>895</v>
      </c>
      <c r="I78" s="49"/>
      <c r="J78">
        <v>1385000</v>
      </c>
    </row>
    <row r="79" spans="1:10" ht="25.5">
      <c r="A79" s="45">
        <v>78417889</v>
      </c>
      <c r="B79" s="45" t="s">
        <v>987</v>
      </c>
      <c r="C79" s="46">
        <v>58002226</v>
      </c>
      <c r="D79" s="45">
        <v>93243863</v>
      </c>
      <c r="E79" s="47" t="s">
        <v>988</v>
      </c>
      <c r="F79" s="48">
        <v>190</v>
      </c>
      <c r="G79" s="49">
        <v>42059</v>
      </c>
      <c r="H79" s="45" t="s">
        <v>895</v>
      </c>
      <c r="I79" s="49"/>
      <c r="J79">
        <v>360000</v>
      </c>
    </row>
    <row r="80" spans="1:10" ht="25.5">
      <c r="A80" s="45">
        <v>78417840</v>
      </c>
      <c r="B80" s="45" t="s">
        <v>990</v>
      </c>
      <c r="C80" s="46">
        <v>58028185</v>
      </c>
      <c r="D80" s="45">
        <v>9935393</v>
      </c>
      <c r="E80" s="47" t="s">
        <v>435</v>
      </c>
      <c r="F80" s="48">
        <v>8</v>
      </c>
      <c r="G80" s="49">
        <v>42059</v>
      </c>
      <c r="H80" s="45" t="s">
        <v>895</v>
      </c>
      <c r="I80" s="49"/>
      <c r="J80">
        <v>7692</v>
      </c>
    </row>
    <row r="81" spans="1:10" ht="25.5">
      <c r="A81" s="45">
        <v>78417888</v>
      </c>
      <c r="B81" s="45" t="s">
        <v>991</v>
      </c>
      <c r="C81" s="46">
        <v>58003371</v>
      </c>
      <c r="D81" s="45">
        <v>85324764</v>
      </c>
      <c r="E81" s="47" t="s">
        <v>992</v>
      </c>
      <c r="F81" s="48">
        <v>0</v>
      </c>
      <c r="G81" s="49">
        <v>42059</v>
      </c>
      <c r="H81" s="45" t="s">
        <v>895</v>
      </c>
      <c r="I81" s="49"/>
      <c r="J81">
        <v>207692</v>
      </c>
    </row>
    <row r="82" spans="1:10">
      <c r="A82" s="57"/>
      <c r="B82" s="57"/>
      <c r="C82" s="58">
        <v>58003153</v>
      </c>
      <c r="E82" s="59" t="s">
        <v>903</v>
      </c>
      <c r="F82" s="60">
        <v>692</v>
      </c>
      <c r="G82" s="57"/>
      <c r="H82" s="57"/>
      <c r="J82">
        <v>692307</v>
      </c>
    </row>
    <row r="83" spans="1:10" ht="25.5">
      <c r="A83" s="61" t="s">
        <v>1531</v>
      </c>
      <c r="B83" s="57"/>
      <c r="C83" s="58">
        <v>58003056</v>
      </c>
      <c r="E83" s="59" t="s">
        <v>992</v>
      </c>
      <c r="F83" s="60">
        <v>2394</v>
      </c>
      <c r="G83" s="57"/>
      <c r="H83" s="57"/>
      <c r="J83">
        <v>2308846</v>
      </c>
    </row>
    <row r="84" spans="1:10" ht="25.5">
      <c r="A84" s="57"/>
      <c r="B84" s="57"/>
      <c r="C84" s="58">
        <v>58002995</v>
      </c>
      <c r="E84" s="59" t="s">
        <v>992</v>
      </c>
      <c r="F84" s="60">
        <v>0</v>
      </c>
      <c r="G84" s="57"/>
      <c r="H84" s="57"/>
      <c r="J84">
        <v>307963</v>
      </c>
    </row>
    <row r="85" spans="1:10" ht="25.5">
      <c r="A85" s="57"/>
      <c r="B85" s="57"/>
      <c r="C85" s="62">
        <v>58003222</v>
      </c>
      <c r="E85" s="59" t="s">
        <v>992</v>
      </c>
      <c r="F85" s="60">
        <v>0</v>
      </c>
      <c r="G85" s="57"/>
      <c r="H85" s="57"/>
      <c r="J85">
        <v>230769</v>
      </c>
    </row>
    <row r="86" spans="1:10" ht="25.5">
      <c r="A86" s="57"/>
      <c r="B86" s="57"/>
      <c r="C86" s="62">
        <v>58003510</v>
      </c>
      <c r="E86" s="59" t="s">
        <v>992</v>
      </c>
      <c r="F86" s="60">
        <v>0</v>
      </c>
      <c r="G86" s="57"/>
      <c r="H86" s="57"/>
      <c r="J86">
        <v>1099730</v>
      </c>
    </row>
    <row r="87" spans="1:10">
      <c r="C87">
        <v>58003043</v>
      </c>
      <c r="E87" s="59" t="s">
        <v>903</v>
      </c>
      <c r="F87">
        <v>1000</v>
      </c>
      <c r="I87" s="34"/>
      <c r="J87">
        <v>107000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Pivot</vt:lpstr>
      <vt:lpstr>by invoice</vt:lpstr>
      <vt:lpstr>Data</vt:lpstr>
      <vt:lpstr>BP vs name</vt:lpstr>
      <vt:lpstr>HELP</vt:lpstr>
      <vt:lpstr>Credimundi</vt:lpstr>
      <vt:lpstr>Atradius 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TEST1</vt:lpstr>
      <vt:lpstr>TESTHKEY</vt:lpstr>
      <vt:lpstr>TESTKEYS</vt:lpstr>
      <vt:lpstr>TESTVKEY</vt:lpstr>
    </vt:vector>
  </TitlesOfParts>
  <Company>Abbott Laboratories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Lakomy, Gabriel</dc:creator>
  <cp:lastModifiedBy>Trotier, Christopher J</cp:lastModifiedBy>
  <dcterms:created xsi:type="dcterms:W3CDTF">2014-01-30T15:13:43Z</dcterms:created>
  <dcterms:modified xsi:type="dcterms:W3CDTF">2017-08-18T08:23:12Z</dcterms:modified>
</cp:coreProperties>
</file>